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984E658-7733-4C8B-B015-FE63D734CA4A}" xr6:coauthVersionLast="47" xr6:coauthVersionMax="47" xr10:uidLastSave="{00000000-0000-0000-0000-000000000000}"/>
  <bookViews>
    <workbookView xWindow="-120" yWindow="-120" windowWidth="20730" windowHeight="11310" activeTab="1" xr2:uid="{00000000-000D-0000-FFFF-FFFF00000000}"/>
  </bookViews>
  <sheets>
    <sheet name="L...retail_sales_dataset  PROJE" sheetId="1" r:id="rId1"/>
    <sheet name="Sheet2" sheetId="3" r:id="rId2"/>
    <sheet name="Sheet1" sheetId="2" r:id="rId3"/>
  </sheets>
  <calcPr calcId="191029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91" i="1" l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2" i="1"/>
  <c r="P63" i="1"/>
  <c r="P53" i="1"/>
  <c r="P51" i="1"/>
</calcChain>
</file>

<file path=xl/sharedStrings.xml><?xml version="1.0" encoding="utf-8"?>
<sst xmlns="http://schemas.openxmlformats.org/spreadsheetml/2006/main" count="4280" uniqueCount="1109">
  <si>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</si>
  <si>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</si>
  <si>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</si>
  <si>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</si>
  <si>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</si>
  <si>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</si>
  <si>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</si>
  <si>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</si>
  <si>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</si>
  <si>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QN 1</t>
  </si>
  <si>
    <t>QN 8</t>
  </si>
  <si>
    <t>CUST001</t>
  </si>
  <si>
    <t>Male</t>
  </si>
  <si>
    <t>Beauty</t>
  </si>
  <si>
    <t>Row Labels</t>
  </si>
  <si>
    <t>CUST002</t>
  </si>
  <si>
    <t>Female</t>
  </si>
  <si>
    <t>Clothing</t>
  </si>
  <si>
    <t>QN 2</t>
  </si>
  <si>
    <t>CUST003</t>
  </si>
  <si>
    <t>Electronics</t>
  </si>
  <si>
    <t>CUST004</t>
  </si>
  <si>
    <t>QN 3</t>
  </si>
  <si>
    <t>CUST005</t>
  </si>
  <si>
    <t>Grand Total</t>
  </si>
  <si>
    <t>CUST006</t>
  </si>
  <si>
    <t>QN 4</t>
  </si>
  <si>
    <t>CUST007</t>
  </si>
  <si>
    <t>Average of Price per Unit</t>
  </si>
  <si>
    <t>QN 9</t>
  </si>
  <si>
    <t>CUST008</t>
  </si>
  <si>
    <t>Sum of Total Amount</t>
  </si>
  <si>
    <t>CUST009</t>
  </si>
  <si>
    <t>CUST010</t>
  </si>
  <si>
    <t>CUST011</t>
  </si>
  <si>
    <t>CUST012</t>
  </si>
  <si>
    <t>CUST013</t>
  </si>
  <si>
    <t>QN 5</t>
  </si>
  <si>
    <t>CUST014</t>
  </si>
  <si>
    <t>Count of Gender</t>
  </si>
  <si>
    <t>CUST015</t>
  </si>
  <si>
    <t>CUST016</t>
  </si>
  <si>
    <t>CUST017</t>
  </si>
  <si>
    <t>CUST018</t>
  </si>
  <si>
    <t>CUST019</t>
  </si>
  <si>
    <t>CUST020</t>
  </si>
  <si>
    <t>QN 6</t>
  </si>
  <si>
    <t>CUST021</t>
  </si>
  <si>
    <t>CUST022</t>
  </si>
  <si>
    <t>CUST023</t>
  </si>
  <si>
    <t>CUST024</t>
  </si>
  <si>
    <t>CUST025</t>
  </si>
  <si>
    <t>CUST026</t>
  </si>
  <si>
    <t>QN 7</t>
  </si>
  <si>
    <t>CUST027</t>
  </si>
  <si>
    <t>Count of Customer ID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</si>
  <si>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</si>
  <si>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</si>
  <si>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</si>
  <si>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</si>
  <si>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</si>
  <si>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</si>
  <si>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</si>
  <si>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</si>
  <si>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</si>
  <si>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</si>
  <si>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</si>
  <si>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</si>
  <si>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</si>
  <si>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</si>
  <si>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</si>
  <si>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</si>
  <si>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</si>
  <si>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</si>
  <si>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</si>
  <si>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</si>
  <si>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</si>
  <si>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</si>
  <si>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</si>
  <si>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</si>
  <si>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</si>
  <si>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</si>
  <si>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</si>
  <si>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</si>
  <si>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</si>
  <si>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</si>
  <si>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</si>
  <si>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</si>
  <si>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</si>
  <si>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</si>
  <si>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</si>
  <si>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</si>
  <si>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</si>
  <si>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</si>
  <si>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</si>
  <si>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</si>
  <si>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</si>
  <si>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</si>
  <si>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</si>
  <si>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</si>
  <si>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</si>
  <si>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</si>
  <si>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</si>
  <si>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</si>
  <si>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</si>
  <si>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</si>
  <si>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</si>
  <si>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</si>
  <si>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</si>
  <si>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</si>
  <si>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</si>
  <si>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</si>
  <si>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</si>
  <si>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</si>
  <si>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</si>
  <si>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</si>
  <si>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</si>
  <si>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</si>
  <si>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</si>
  <si>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</si>
  <si>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</si>
  <si>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</si>
  <si>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</si>
  <si>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</si>
  <si>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</si>
  <si>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</si>
  <si>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</si>
  <si>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</si>
  <si>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</si>
  <si>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</si>
  <si>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</si>
  <si>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</si>
  <si>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</si>
  <si>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</si>
  <si>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</si>
  <si>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</si>
  <si>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</si>
  <si>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</si>
  <si>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</si>
  <si>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</si>
  <si>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</si>
  <si>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</si>
  <si>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</si>
  <si>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</si>
  <si>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</si>
  <si>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</si>
  <si>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</si>
  <si>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</si>
  <si>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</si>
  <si>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</si>
  <si>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</si>
  <si>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</si>
  <si>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</si>
  <si>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</si>
  <si>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</si>
  <si>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</si>
  <si>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</si>
  <si>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</si>
  <si>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</si>
  <si>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</si>
  <si>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</si>
  <si>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</si>
  <si>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</si>
  <si>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</si>
  <si>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</si>
  <si>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</si>
  <si>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</si>
  <si>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</si>
  <si>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</si>
  <si>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</si>
  <si>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</si>
  <si>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</si>
  <si>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</si>
  <si>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</si>
  <si>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</si>
  <si>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</si>
  <si>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</si>
  <si>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</si>
  <si>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</si>
  <si>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</si>
  <si>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</si>
  <si>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</si>
  <si>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</si>
  <si>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</si>
  <si>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</si>
  <si>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</si>
  <si>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</si>
  <si>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</si>
  <si>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</si>
  <si>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</si>
  <si>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</si>
  <si>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</si>
  <si>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</si>
  <si>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</si>
  <si>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</si>
  <si>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</si>
  <si>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</si>
  <si>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</si>
  <si>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</si>
  <si>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</si>
  <si>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</si>
  <si>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</si>
  <si>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</si>
  <si>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</si>
  <si>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</si>
  <si>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</si>
  <si>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</si>
  <si>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</si>
  <si>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</si>
  <si>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</si>
  <si>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</si>
  <si>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</si>
  <si>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</si>
  <si>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</si>
  <si>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</si>
  <si>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</si>
  <si>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</si>
  <si>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</si>
  <si>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</si>
  <si>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</si>
  <si>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</si>
  <si>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</si>
  <si>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</si>
  <si>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</si>
  <si>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</si>
  <si>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</si>
  <si>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</si>
  <si>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</si>
  <si>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</si>
  <si>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</si>
  <si>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</si>
  <si>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</si>
  <si>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</si>
  <si>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</si>
  <si>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</si>
  <si>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</si>
  <si>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</si>
  <si>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</si>
  <si>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</si>
  <si>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</si>
  <si>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</si>
  <si>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</si>
  <si>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</si>
  <si>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</si>
  <si>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</si>
  <si>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</si>
  <si>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</si>
  <si>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</si>
  <si>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</si>
  <si>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</si>
  <si>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</si>
  <si>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</si>
  <si>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</si>
  <si>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</si>
  <si>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</si>
  <si>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</si>
  <si>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</si>
  <si>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</si>
  <si>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</si>
  <si>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</si>
  <si>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</si>
  <si>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</si>
  <si>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</si>
  <si>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</si>
  <si>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</si>
  <si>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</si>
  <si>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</si>
  <si>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</si>
  <si>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</si>
  <si>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</si>
  <si>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</si>
  <si>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</si>
  <si>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</si>
  <si>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</si>
  <si>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</si>
  <si>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</si>
  <si>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</si>
  <si>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</si>
  <si>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</si>
  <si>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</si>
  <si>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</si>
  <si>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</si>
  <si>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</si>
  <si>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</si>
  <si>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</si>
  <si>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</si>
  <si>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</si>
  <si>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</si>
  <si>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</si>
  <si>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</si>
  <si>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</si>
  <si>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</si>
  <si>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</si>
  <si>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</si>
  <si>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</si>
  <si>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</si>
  <si>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</si>
  <si>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</si>
  <si>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</si>
  <si>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</si>
  <si>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</si>
  <si>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</si>
  <si>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</si>
  <si>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</si>
  <si>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</si>
  <si>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</si>
  <si>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</si>
  <si>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</si>
  <si>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</si>
  <si>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</si>
  <si>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</si>
  <si>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</si>
  <si>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</si>
  <si>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</si>
  <si>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</si>
  <si>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</si>
  <si>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</si>
  <si>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</si>
  <si>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</si>
  <si>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</si>
  <si>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</si>
  <si>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</si>
  <si>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</si>
  <si>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</si>
  <si>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</si>
  <si>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</si>
  <si>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</si>
  <si>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</si>
  <si>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</si>
  <si>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</si>
  <si>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</si>
  <si>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</si>
  <si>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</si>
  <si>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</si>
  <si>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</si>
  <si>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</si>
  <si>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</si>
  <si>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</si>
  <si>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</si>
  <si>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</si>
  <si>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</si>
  <si>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</si>
  <si>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</si>
  <si>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</si>
  <si>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</si>
  <si>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</si>
  <si>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</si>
  <si>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</si>
  <si>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</si>
  <si>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</si>
  <si>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</si>
  <si>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</si>
  <si>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</si>
  <si>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</si>
  <si>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</si>
  <si>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</si>
  <si>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</si>
  <si>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</si>
  <si>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</si>
  <si>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</si>
  <si>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</si>
  <si>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</si>
  <si>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</si>
  <si>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</si>
  <si>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</si>
  <si>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</si>
  <si>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</si>
  <si>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</si>
  <si>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</si>
  <si>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</si>
  <si>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</si>
  <si>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</si>
  <si>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</si>
  <si>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</si>
  <si>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</si>
  <si>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</si>
  <si>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</si>
  <si>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</si>
  <si>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</si>
  <si>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</si>
  <si>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</si>
  <si>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</si>
  <si>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</si>
  <si>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</si>
  <si>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</si>
  <si>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</si>
  <si>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</si>
  <si>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</si>
  <si>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</si>
  <si>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</si>
  <si>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</si>
  <si>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</si>
  <si>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</si>
  <si>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</si>
  <si>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</si>
  <si>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</si>
  <si>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</si>
  <si>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</si>
  <si>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</si>
  <si>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</si>
  <si>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</si>
  <si>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</si>
  <si>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</si>
  <si>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</si>
  <si>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</si>
  <si>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</si>
  <si>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</si>
  <si>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</si>
  <si>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</si>
  <si>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</si>
  <si>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</si>
  <si>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</si>
  <si>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</si>
  <si>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</si>
  <si>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</si>
  <si>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</si>
  <si>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</si>
  <si>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</si>
  <si>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</si>
  <si>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</si>
  <si>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</si>
  <si>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</si>
  <si>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</si>
  <si>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</si>
  <si>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</si>
  <si>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</si>
  <si>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</si>
  <si>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</si>
  <si>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</si>
  <si>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</si>
  <si>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</si>
  <si>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</si>
  <si>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</si>
  <si>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</si>
  <si>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</si>
  <si>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</si>
  <si>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</si>
  <si>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</si>
  <si>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</si>
  <si>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</si>
  <si>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</si>
  <si>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</si>
  <si>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</si>
  <si>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</si>
  <si>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</si>
  <si>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</si>
  <si>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</si>
  <si>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</si>
  <si>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</si>
  <si>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</si>
  <si>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</si>
  <si>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</si>
  <si>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</si>
  <si>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</si>
  <si>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</si>
  <si>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</si>
  <si>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</si>
  <si>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</si>
  <si>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</si>
  <si>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</si>
  <si>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</si>
  <si>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</si>
  <si>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</si>
  <si>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</si>
  <si>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</si>
  <si>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</si>
  <si>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</si>
  <si>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</si>
  <si>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</si>
  <si>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</si>
  <si>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</si>
  <si>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</si>
  <si>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</si>
  <si>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</si>
  <si>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</si>
  <si>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</si>
  <si>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</si>
  <si>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</si>
  <si>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</si>
  <si>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</si>
  <si>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</si>
  <si>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</si>
  <si>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</si>
  <si>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</si>
  <si>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</si>
  <si>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</si>
  <si>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</si>
  <si>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</si>
  <si>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</si>
  <si>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</si>
  <si>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</si>
  <si>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</si>
  <si>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</si>
  <si>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</si>
  <si>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</si>
  <si>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</si>
  <si>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</si>
  <si>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</si>
  <si>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</si>
  <si>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</si>
  <si>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</si>
  <si>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</si>
  <si>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</si>
  <si>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</si>
  <si>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</si>
  <si>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</si>
  <si>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</si>
  <si>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</si>
  <si>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</si>
  <si>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</si>
  <si>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</si>
  <si>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</si>
  <si>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</si>
  <si>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</si>
  <si>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</si>
  <si>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</si>
  <si>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</si>
  <si>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</si>
  <si>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</si>
  <si>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</si>
  <si>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</si>
  <si>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</si>
  <si>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</si>
  <si>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</si>
  <si>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</si>
  <si>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</si>
  <si>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</si>
  <si>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</si>
  <si>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</si>
  <si>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</si>
  <si>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</si>
  <si>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</si>
  <si>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</si>
  <si>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</si>
  <si>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</si>
  <si>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</si>
  <si>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</si>
  <si>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</si>
  <si>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</si>
  <si>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</si>
  <si>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</si>
  <si>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</si>
  <si>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</si>
  <si>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</si>
  <si>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</si>
  <si>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</si>
  <si>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</si>
  <si>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</si>
  <si>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</si>
  <si>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</si>
  <si>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</si>
  <si>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</si>
  <si>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</si>
  <si>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</si>
  <si>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</si>
  <si>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</si>
  <si>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</si>
  <si>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</si>
  <si>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</si>
  <si>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</si>
  <si>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</si>
  <si>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</si>
  <si>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</si>
  <si>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</si>
  <si>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</si>
  <si>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</si>
  <si>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</si>
  <si>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</si>
  <si>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</si>
  <si>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</si>
  <si>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</si>
  <si>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</si>
  <si>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</si>
  <si>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</si>
  <si>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</si>
  <si>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</si>
  <si>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</si>
  <si>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</si>
  <si>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</si>
  <si>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</si>
  <si>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</si>
  <si>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</si>
  <si>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</si>
  <si>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</si>
  <si>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</si>
  <si>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</si>
  <si>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</si>
  <si>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</si>
  <si>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</si>
  <si>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</si>
  <si>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</si>
  <si>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</si>
  <si>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</si>
  <si>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</si>
  <si>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</si>
  <si>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</si>
  <si>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</si>
  <si>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</si>
  <si>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</si>
  <si>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</si>
  <si>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</si>
  <si>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</si>
  <si>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</si>
  <si>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</si>
  <si>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</si>
  <si>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</si>
  <si>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</si>
  <si>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</si>
  <si>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</si>
  <si>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</si>
  <si>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</si>
  <si>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</si>
  <si>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</si>
  <si>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</si>
  <si>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</si>
  <si>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</si>
  <si>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</si>
  <si>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</si>
  <si>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</si>
  <si>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</si>
  <si>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</si>
  <si>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</si>
  <si>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</si>
  <si>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</si>
  <si>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</si>
  <si>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</si>
  <si>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</si>
  <si>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</si>
  <si>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</si>
  <si>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</si>
  <si>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</si>
  <si>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</si>
  <si>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</si>
  <si>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</si>
  <si>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</si>
  <si>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</si>
  <si>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</si>
  <si>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</si>
  <si>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</si>
  <si>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</si>
  <si>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</si>
  <si>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</si>
  <si>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</si>
  <si>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</si>
  <si>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</si>
  <si>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</si>
  <si>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</si>
  <si>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</si>
  <si>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</si>
  <si>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</si>
  <si>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</si>
  <si>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</si>
  <si>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</si>
  <si>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</si>
  <si>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</si>
  <si>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</si>
  <si>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</si>
  <si>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</si>
  <si>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</si>
  <si>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</si>
  <si>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</si>
  <si>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</si>
  <si>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</si>
  <si>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</si>
  <si>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</si>
  <si>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</si>
  <si>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</si>
  <si>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</si>
  <si>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</si>
  <si>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</si>
  <si>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</si>
  <si>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</si>
  <si>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</si>
  <si>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</si>
  <si>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</si>
  <si>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</si>
  <si>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</si>
  <si>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</si>
  <si>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</si>
  <si>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</si>
  <si>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</si>
  <si>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</si>
  <si>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</si>
  <si>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</si>
  <si>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</si>
  <si>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</si>
  <si>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</si>
  <si>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</si>
  <si>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</si>
  <si>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</si>
  <si>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</si>
  <si>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</si>
  <si>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</si>
  <si>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</si>
  <si>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</si>
  <si>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</si>
  <si>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</si>
  <si>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</si>
  <si>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</si>
  <si>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</si>
  <si>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</si>
  <si>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</si>
  <si>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</si>
  <si>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</si>
  <si>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</si>
  <si>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</si>
  <si>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</si>
  <si>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</si>
  <si>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</si>
  <si>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</si>
  <si>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</si>
  <si>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</si>
  <si>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</si>
  <si>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</si>
  <si>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</si>
  <si>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</si>
  <si>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</si>
  <si>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</si>
  <si>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</si>
  <si>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</si>
  <si>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</si>
  <si>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</si>
  <si>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</si>
  <si>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</si>
  <si>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</si>
  <si>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</si>
  <si>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</si>
  <si>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</si>
  <si>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</si>
  <si>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</si>
  <si>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</si>
  <si>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</si>
  <si>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</si>
  <si>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</si>
  <si>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</si>
  <si>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</si>
  <si>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</si>
  <si>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</si>
  <si>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</si>
  <si>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</si>
  <si>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</si>
  <si>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</si>
  <si>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</si>
  <si>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</si>
  <si>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</si>
  <si>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</si>
  <si>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</si>
  <si>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</si>
  <si>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</si>
  <si>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</si>
  <si>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</si>
  <si>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</si>
  <si>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</si>
  <si>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</si>
  <si>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</si>
  <si>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</si>
  <si>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</si>
  <si>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</si>
  <si>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</si>
  <si>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</si>
  <si>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</si>
  <si>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</si>
  <si>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</si>
  <si>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</si>
  <si>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</si>
  <si>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</si>
  <si>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</si>
  <si>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</si>
  <si>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</si>
  <si>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</si>
  <si>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</si>
  <si>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</si>
  <si>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</si>
  <si>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</si>
  <si>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</si>
  <si>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</si>
  <si>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</si>
  <si>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</si>
  <si>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</si>
  <si>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</si>
  <si>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</si>
  <si>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</si>
  <si>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</si>
  <si>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</si>
  <si>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</si>
  <si>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</si>
  <si>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</si>
  <si>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</si>
  <si>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</si>
  <si>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</si>
  <si>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</si>
  <si>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</si>
  <si>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</si>
  <si>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</si>
  <si>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</si>
  <si>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</si>
  <si>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</si>
  <si>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</si>
  <si>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</si>
  <si>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</si>
  <si>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</si>
  <si>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</si>
  <si>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</si>
  <si>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</si>
  <si>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</si>
  <si>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</si>
  <si>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</si>
  <si>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</si>
  <si>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</si>
  <si>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</si>
  <si>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</si>
  <si>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</si>
  <si>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</si>
  <si>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</si>
  <si>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</si>
  <si>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</si>
  <si>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</si>
  <si>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</si>
  <si>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</si>
  <si>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</si>
  <si>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</si>
  <si>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</si>
  <si>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</si>
  <si>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</si>
  <si>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</si>
  <si>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</si>
  <si>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</si>
  <si>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</si>
  <si>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</si>
  <si>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</si>
  <si>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</si>
  <si>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</si>
  <si>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</si>
  <si>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</si>
  <si>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</si>
  <si>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</si>
  <si>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</si>
  <si>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</si>
  <si>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</si>
  <si>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</si>
  <si>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</si>
  <si>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</si>
  <si>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</si>
  <si>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</si>
  <si>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</si>
  <si>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</si>
  <si>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</si>
  <si>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</si>
  <si>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</si>
  <si>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</si>
  <si>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</si>
  <si>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</si>
  <si>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</si>
  <si>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</si>
  <si>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</si>
  <si>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</si>
  <si>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</si>
  <si>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</si>
  <si>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</si>
  <si>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</si>
  <si>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</si>
  <si>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</si>
  <si>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</si>
  <si>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</si>
  <si>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</si>
  <si>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</si>
  <si>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</si>
  <si>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</si>
  <si>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</si>
  <si>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</si>
  <si>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</si>
  <si>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</si>
  <si>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</si>
  <si>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</si>
  <si>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</si>
  <si>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</si>
  <si>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</si>
  <si>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</si>
  <si>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</si>
  <si>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</si>
  <si>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</si>
  <si>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</si>
  <si>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</si>
  <si>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</si>
  <si>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</si>
  <si>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</si>
  <si>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</si>
  <si>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</si>
  <si>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</si>
  <si>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</si>
  <si>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</si>
  <si>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</si>
  <si>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</si>
  <si>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</si>
  <si>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</si>
  <si>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</si>
  <si>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</si>
  <si>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</si>
  <si>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</si>
  <si>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</si>
  <si>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</si>
  <si>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</si>
  <si>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</si>
  <si>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</si>
  <si>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</si>
  <si>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</si>
  <si>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</si>
  <si>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</si>
  <si>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</si>
  <si>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</si>
  <si>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</si>
  <si>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</si>
  <si>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</si>
  <si>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</si>
  <si>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</si>
  <si>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</si>
  <si>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</si>
  <si>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</si>
  <si>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</si>
  <si>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</si>
  <si>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</si>
  <si>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</si>
  <si>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</si>
  <si>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</si>
  <si>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</si>
  <si>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</si>
  <si>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</si>
  <si>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</si>
  <si>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</si>
  <si>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</si>
  <si>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</si>
  <si>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</si>
  <si>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</si>
  <si>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</si>
  <si>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</si>
  <si>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</si>
  <si>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</si>
  <si>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</si>
  <si>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</si>
  <si>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</si>
  <si>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</si>
  <si>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</si>
  <si>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</si>
  <si>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</si>
  <si>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</si>
  <si>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</si>
  <si>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</si>
  <si>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</si>
  <si>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</si>
  <si>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</si>
  <si>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</si>
  <si>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</si>
  <si>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</si>
  <si>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</si>
  <si>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</si>
  <si>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</si>
  <si>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</si>
  <si>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</si>
  <si>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</si>
  <si>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</si>
  <si>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</si>
  <si>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</si>
  <si>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</si>
  <si>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</si>
  <si>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</si>
  <si>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</si>
  <si>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</si>
  <si>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</si>
  <si>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</si>
  <si>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</si>
  <si>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</si>
  <si>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</si>
  <si>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</si>
  <si>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</si>
  <si>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</si>
  <si>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</si>
  <si>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</si>
  <si>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</si>
  <si>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</si>
  <si>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</si>
  <si>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</si>
  <si>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</si>
  <si>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</si>
  <si>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</si>
  <si>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</si>
  <si>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</si>
  <si>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</si>
  <si>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</si>
  <si>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</si>
  <si>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</si>
  <si>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</si>
  <si>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</si>
  <si>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</si>
  <si>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</si>
  <si>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</si>
  <si>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</si>
  <si>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</si>
  <si>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</si>
  <si>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</si>
  <si>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</si>
  <si>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</si>
  <si>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</si>
  <si>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</si>
  <si>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</si>
  <si>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</si>
  <si>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</si>
  <si>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</si>
  <si>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</si>
  <si>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</si>
  <si>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</si>
  <si>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</si>
  <si>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</si>
  <si>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</si>
  <si>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</si>
  <si>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</si>
  <si>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</si>
  <si>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</si>
  <si>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</si>
  <si>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</si>
  <si>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</si>
  <si>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</si>
  <si>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</si>
  <si>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</si>
  <si>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</si>
  <si>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</si>
  <si>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</si>
  <si>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</si>
  <si>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</si>
  <si>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</si>
  <si>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QN 10</t>
  </si>
  <si>
    <t>QN 11</t>
  </si>
  <si>
    <t>QN 12</t>
  </si>
  <si>
    <t>QN 13</t>
  </si>
  <si>
    <t>✅ Basic Questions</t>
  </si>
  <si>
    <t>1. How many total transactions are recorded in the dataset?</t>
  </si>
  <si>
    <t>2. What is the total revenue generated?</t>
  </si>
  <si>
    <t>3. Which customer made the highest purchase amount?</t>
  </si>
  <si>
    <t>4. What is the average age of customers?</t>
  </si>
  <si>
    <t>5. How many male vs female customers are there?</t>
  </si>
  <si>
    <t>✅ Product-Related Questions</t>
  </si>
  <si>
    <t>6. Which product category has the highest number of sales?</t>
  </si>
  <si>
    <t>7. What is the total revenue from each product category (Beauty, Clothing, Electronics)?</t>
  </si>
  <si>
    <t>8. Which product category has the highest average price per unit?</t>
  </si>
  <si>
    <t>9. Which category has the highest number of transactions?</t>
  </si>
  <si>
    <t>✅ Date / Time-Based Questions</t>
  </si>
  <si>
    <t>10. Which month recorded the highest sales?</t>
  </si>
  <si>
    <t>11. Calculate total revenue for each month.</t>
  </si>
  <si>
    <t>12. How many transactions occurred in 2023 Q1, Q2, Q3, and Q4?</t>
  </si>
  <si>
    <t>✅ Customer Analysis</t>
  </si>
  <si>
    <t>13. What is the age group distribution of customers?</t>
  </si>
  <si>
    <t>• 18–25</t>
  </si>
  <si>
    <t>• 26–35</t>
  </si>
  <si>
    <t>• 36–45</t>
  </si>
  <si>
    <t>• 46–60</t>
  </si>
  <si>
    <t>14. Which age group spends the most money?</t>
  </si>
  <si>
    <t>15. Which gender contributes more to total revenue?</t>
  </si>
  <si>
    <t>✅ Pricing &amp; Revenue Insights</t>
  </si>
  <si>
    <t>16. What is the average total amount per transaction?</t>
  </si>
  <si>
    <t>17. Which transaction has the maximum revenue?</t>
  </si>
  <si>
    <t>18. Which product has the highest price per unit?</t>
  </si>
  <si>
    <t>19. Calculate total quantity sold for each product category.</t>
  </si>
  <si>
    <t>✅ Advanced / Analytical Questions</t>
  </si>
  <si>
    <t>20. Is there any relationship between age and total spending?</t>
  </si>
  <si>
    <t>(Correlation)</t>
  </si>
  <si>
    <t>21. What is the average quantity purchased per transaction?</t>
  </si>
  <si>
    <r>
      <t xml:space="preserve">22. Create a pivot table showing </t>
    </r>
    <r>
      <rPr>
        <b/>
        <sz val="11"/>
        <color theme="1"/>
        <rFont val="Calibri"/>
        <family val="2"/>
        <scheme val="minor"/>
      </rPr>
      <t>Category vs Gender vs Total Amount</t>
    </r>
    <r>
      <rPr>
        <sz val="11"/>
        <color theme="1"/>
        <rFont val="Calibri"/>
        <family val="2"/>
        <scheme val="minor"/>
      </rPr>
      <t>.</t>
    </r>
  </si>
  <si>
    <r>
      <t xml:space="preserve">23. Find the </t>
    </r>
    <r>
      <rPr>
        <b/>
        <sz val="11"/>
        <color theme="1"/>
        <rFont val="Calibri"/>
        <family val="2"/>
        <scheme val="minor"/>
      </rPr>
      <t>top 3 highest-spending customers</t>
    </r>
    <r>
      <rPr>
        <sz val="11"/>
        <color theme="1"/>
        <rFont val="Calibri"/>
        <family val="2"/>
        <scheme val="minor"/>
      </rPr>
      <t>.</t>
    </r>
  </si>
  <si>
    <t>24. What percentage of total revenue comes from each product category?</t>
  </si>
  <si>
    <t>Sum of Transaction ID</t>
  </si>
  <si>
    <t>2023</t>
  </si>
  <si>
    <t>Qtr1</t>
  </si>
  <si>
    <t>Jan</t>
  </si>
  <si>
    <t>Feb</t>
  </si>
  <si>
    <t>Mar</t>
  </si>
  <si>
    <t>Qtr2</t>
  </si>
  <si>
    <t>Apr</t>
  </si>
  <si>
    <t>May</t>
  </si>
  <si>
    <t>Jun</t>
  </si>
  <si>
    <t>Qtr3</t>
  </si>
  <si>
    <t>Jul</t>
  </si>
  <si>
    <t>Aug</t>
  </si>
  <si>
    <t>Sep</t>
  </si>
  <si>
    <t>Qtr4</t>
  </si>
  <si>
    <t>Oct</t>
  </si>
  <si>
    <t>Nov</t>
  </si>
  <si>
    <t>Dec</t>
  </si>
  <si>
    <t>2024</t>
  </si>
  <si>
    <t>Count of Transaction ID</t>
  </si>
  <si>
    <t>AGE DISTRIBUTION</t>
  </si>
  <si>
    <t>18-25</t>
  </si>
  <si>
    <t>26-35</t>
  </si>
  <si>
    <t>36-45</t>
  </si>
  <si>
    <t>46-60</t>
  </si>
  <si>
    <t>FALSE</t>
  </si>
  <si>
    <t>QN 14</t>
  </si>
  <si>
    <t>Max of Total Amount</t>
  </si>
  <si>
    <t>QN 15</t>
  </si>
  <si>
    <t>QN 16</t>
  </si>
  <si>
    <t>Average of Total Amount</t>
  </si>
  <si>
    <t>QN 17</t>
  </si>
  <si>
    <t>QN 18</t>
  </si>
  <si>
    <t>Sum of Price per Unit</t>
  </si>
  <si>
    <t>QN 19</t>
  </si>
  <si>
    <t>Sum of Quantity</t>
  </si>
  <si>
    <t>QN 21</t>
  </si>
  <si>
    <t>Average of Quantity</t>
  </si>
  <si>
    <t>QN 22</t>
  </si>
  <si>
    <t>QN 23</t>
  </si>
  <si>
    <t>QN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</si>
</sst>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19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 indent="2"/>
    </xf>
    <xf numFmtId="14" fontId="0" fillId="0" borderId="0" xfId="0" applyNumberFormat="1" applyAlignment="1">
      <alignment horizontal="left" indent="1"/>
    </xf>
    <xf numFmtId="10" fontId="0" fillId="0" borderId="0" xfId="0" applyNumberFormat="1"/>
    <xf numFmtId="0" fontId="0" fillId="33" borderId="0" xfId="0" applyFill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project.xlsx]L...retail_sales_dataset  PROJE!PivotTable1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'L...retail_sales_dataset  PROJE'!$Q$65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626-4977-A5B4-CB71436BED3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626-4977-A5B4-CB71436BED37}"/>
              </c:ext>
            </c:extLst>
          </c:dPt>
          <c:cat>
            <c:strRef>
              <c:f>'L...retail_sales_dataset  PROJE'!$P$66:$P$68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'L...retail_sales_dataset  PROJE'!$Q$66:$Q$68</c:f>
              <c:numCache>
                <c:formatCode>General</c:formatCode>
                <c:ptCount val="2"/>
                <c:pt idx="0">
                  <c:v>510</c:v>
                </c:pt>
                <c:pt idx="1">
                  <c:v>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26-4977-A5B4-CB71436BED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project.xlsx]L...retail_sales_dataset  PROJE!PivotTable7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'L...retail_sales_dataset  PROJE'!$N$2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'L...retail_sales_dataset  PROJE'!$M$3:$M$1003</c:f>
              <c:strCache>
                <c:ptCount val="1000"/>
                <c:pt idx="0">
                  <c:v>CUST789</c:v>
                </c:pt>
                <c:pt idx="1">
                  <c:v>CUST946</c:v>
                </c:pt>
                <c:pt idx="2">
                  <c:v>CUST875</c:v>
                </c:pt>
                <c:pt idx="3">
                  <c:v>CUST700</c:v>
                </c:pt>
                <c:pt idx="4">
                  <c:v>CUST773</c:v>
                </c:pt>
                <c:pt idx="5">
                  <c:v>CUST731</c:v>
                </c:pt>
                <c:pt idx="6">
                  <c:v>CUST832</c:v>
                </c:pt>
                <c:pt idx="7">
                  <c:v>CUST735</c:v>
                </c:pt>
                <c:pt idx="8">
                  <c:v>CUST927</c:v>
                </c:pt>
                <c:pt idx="9">
                  <c:v>CUST742</c:v>
                </c:pt>
                <c:pt idx="10">
                  <c:v>CUST970</c:v>
                </c:pt>
                <c:pt idx="11">
                  <c:v>CUST743</c:v>
                </c:pt>
                <c:pt idx="12">
                  <c:v>CUST808</c:v>
                </c:pt>
                <c:pt idx="13">
                  <c:v>CUST626</c:v>
                </c:pt>
                <c:pt idx="14">
                  <c:v>CUST572</c:v>
                </c:pt>
                <c:pt idx="15">
                  <c:v>CUST547</c:v>
                </c:pt>
                <c:pt idx="16">
                  <c:v>CUST342</c:v>
                </c:pt>
                <c:pt idx="17">
                  <c:v>CUST592</c:v>
                </c:pt>
                <c:pt idx="18">
                  <c:v>CUST412</c:v>
                </c:pt>
                <c:pt idx="19">
                  <c:v>CUST664</c:v>
                </c:pt>
                <c:pt idx="20">
                  <c:v>CUST416</c:v>
                </c:pt>
                <c:pt idx="21">
                  <c:v>CUST561</c:v>
                </c:pt>
                <c:pt idx="22">
                  <c:v>CUST420</c:v>
                </c:pt>
                <c:pt idx="23">
                  <c:v>CUST577</c:v>
                </c:pt>
                <c:pt idx="24">
                  <c:v>CUST447</c:v>
                </c:pt>
                <c:pt idx="25">
                  <c:v>CUST595</c:v>
                </c:pt>
                <c:pt idx="26">
                  <c:v>CUST476</c:v>
                </c:pt>
                <c:pt idx="27">
                  <c:v>CUST634</c:v>
                </c:pt>
                <c:pt idx="28">
                  <c:v>CUST480</c:v>
                </c:pt>
                <c:pt idx="29">
                  <c:v>CUST487</c:v>
                </c:pt>
                <c:pt idx="30">
                  <c:v>CUST503</c:v>
                </c:pt>
                <c:pt idx="31">
                  <c:v>CUST257</c:v>
                </c:pt>
                <c:pt idx="32">
                  <c:v>CUST152</c:v>
                </c:pt>
                <c:pt idx="33">
                  <c:v>CUST124</c:v>
                </c:pt>
                <c:pt idx="34">
                  <c:v>CUST015</c:v>
                </c:pt>
                <c:pt idx="35">
                  <c:v>CUST157</c:v>
                </c:pt>
                <c:pt idx="36">
                  <c:v>CUST065</c:v>
                </c:pt>
                <c:pt idx="37">
                  <c:v>CUST281</c:v>
                </c:pt>
                <c:pt idx="38">
                  <c:v>CUST072</c:v>
                </c:pt>
                <c:pt idx="39">
                  <c:v>CUST139</c:v>
                </c:pt>
                <c:pt idx="40">
                  <c:v>CUST074</c:v>
                </c:pt>
                <c:pt idx="41">
                  <c:v>CUST155</c:v>
                </c:pt>
                <c:pt idx="42">
                  <c:v>CUST089</c:v>
                </c:pt>
                <c:pt idx="43">
                  <c:v>CUST253</c:v>
                </c:pt>
                <c:pt idx="44">
                  <c:v>CUST093</c:v>
                </c:pt>
                <c:pt idx="45">
                  <c:v>CUST269</c:v>
                </c:pt>
                <c:pt idx="46">
                  <c:v>CUST109</c:v>
                </c:pt>
                <c:pt idx="47">
                  <c:v>CUST118</c:v>
                </c:pt>
                <c:pt idx="48">
                  <c:v>CUST166</c:v>
                </c:pt>
                <c:pt idx="49">
                  <c:v>CUST956</c:v>
                </c:pt>
                <c:pt idx="50">
                  <c:v>CUST869</c:v>
                </c:pt>
                <c:pt idx="51">
                  <c:v>CUST843</c:v>
                </c:pt>
                <c:pt idx="52">
                  <c:v>CUST710</c:v>
                </c:pt>
                <c:pt idx="53">
                  <c:v>CUST677</c:v>
                </c:pt>
                <c:pt idx="54">
                  <c:v>CUST711</c:v>
                </c:pt>
                <c:pt idx="55">
                  <c:v>CUST805</c:v>
                </c:pt>
                <c:pt idx="56">
                  <c:v>CUST720</c:v>
                </c:pt>
                <c:pt idx="57">
                  <c:v>CUST859</c:v>
                </c:pt>
                <c:pt idx="58">
                  <c:v>CUST673</c:v>
                </c:pt>
                <c:pt idx="59">
                  <c:v>CUST942</c:v>
                </c:pt>
                <c:pt idx="60">
                  <c:v>CUST676</c:v>
                </c:pt>
                <c:pt idx="61">
                  <c:v>CUST693</c:v>
                </c:pt>
                <c:pt idx="62">
                  <c:v>CUST636</c:v>
                </c:pt>
                <c:pt idx="63">
                  <c:v>CUST580</c:v>
                </c:pt>
                <c:pt idx="64">
                  <c:v>CUST522</c:v>
                </c:pt>
                <c:pt idx="65">
                  <c:v>CUST369</c:v>
                </c:pt>
                <c:pt idx="66">
                  <c:v>CUST608</c:v>
                </c:pt>
                <c:pt idx="67">
                  <c:v>CUST372</c:v>
                </c:pt>
                <c:pt idx="68">
                  <c:v>CUST507</c:v>
                </c:pt>
                <c:pt idx="69">
                  <c:v>CUST385</c:v>
                </c:pt>
                <c:pt idx="70">
                  <c:v>CUST533</c:v>
                </c:pt>
                <c:pt idx="71">
                  <c:v>CUST421</c:v>
                </c:pt>
                <c:pt idx="72">
                  <c:v>CUST356</c:v>
                </c:pt>
                <c:pt idx="73">
                  <c:v>CUST452</c:v>
                </c:pt>
                <c:pt idx="74">
                  <c:v>CUST611</c:v>
                </c:pt>
                <c:pt idx="75">
                  <c:v>CUST463</c:v>
                </c:pt>
                <c:pt idx="76">
                  <c:v>CUST647</c:v>
                </c:pt>
                <c:pt idx="77">
                  <c:v>CUST474</c:v>
                </c:pt>
                <c:pt idx="78">
                  <c:v>CUST506</c:v>
                </c:pt>
                <c:pt idx="79">
                  <c:v>CUST213</c:v>
                </c:pt>
                <c:pt idx="80">
                  <c:v>CUST193</c:v>
                </c:pt>
                <c:pt idx="81">
                  <c:v>CUST280</c:v>
                </c:pt>
                <c:pt idx="82">
                  <c:v>CUST047</c:v>
                </c:pt>
                <c:pt idx="83">
                  <c:v>CUST211</c:v>
                </c:pt>
                <c:pt idx="84">
                  <c:v>CUST054</c:v>
                </c:pt>
                <c:pt idx="85">
                  <c:v>CUST239</c:v>
                </c:pt>
                <c:pt idx="86">
                  <c:v>CUST078</c:v>
                </c:pt>
                <c:pt idx="87">
                  <c:v>CUST169</c:v>
                </c:pt>
                <c:pt idx="88">
                  <c:v>CUST111</c:v>
                </c:pt>
                <c:pt idx="89">
                  <c:v>CUST199</c:v>
                </c:pt>
                <c:pt idx="90">
                  <c:v>CUST112</c:v>
                </c:pt>
                <c:pt idx="91">
                  <c:v>CUST212</c:v>
                </c:pt>
                <c:pt idx="92">
                  <c:v>CUST115</c:v>
                </c:pt>
                <c:pt idx="93">
                  <c:v>CUST215</c:v>
                </c:pt>
                <c:pt idx="94">
                  <c:v>CUST144</c:v>
                </c:pt>
                <c:pt idx="95">
                  <c:v>CUST016</c:v>
                </c:pt>
                <c:pt idx="96">
                  <c:v>CUST013</c:v>
                </c:pt>
                <c:pt idx="97">
                  <c:v>CUST313</c:v>
                </c:pt>
                <c:pt idx="98">
                  <c:v>CUST164</c:v>
                </c:pt>
                <c:pt idx="99">
                  <c:v>CUST862</c:v>
                </c:pt>
                <c:pt idx="100">
                  <c:v>CUST943</c:v>
                </c:pt>
                <c:pt idx="101">
                  <c:v>CUST908</c:v>
                </c:pt>
                <c:pt idx="102">
                  <c:v>CUST726</c:v>
                </c:pt>
                <c:pt idx="103">
                  <c:v>CUST756</c:v>
                </c:pt>
                <c:pt idx="104">
                  <c:v>CUST669</c:v>
                </c:pt>
                <c:pt idx="105">
                  <c:v>CUST757</c:v>
                </c:pt>
                <c:pt idx="106">
                  <c:v>CUST839</c:v>
                </c:pt>
                <c:pt idx="107">
                  <c:v>CUST928</c:v>
                </c:pt>
                <c:pt idx="108">
                  <c:v>CUST729</c:v>
                </c:pt>
                <c:pt idx="109">
                  <c:v>CUST716</c:v>
                </c:pt>
                <c:pt idx="110">
                  <c:v>CUST847</c:v>
                </c:pt>
                <c:pt idx="111">
                  <c:v>CUST682</c:v>
                </c:pt>
                <c:pt idx="112">
                  <c:v>CUST800</c:v>
                </c:pt>
                <c:pt idx="113">
                  <c:v>CUST828</c:v>
                </c:pt>
                <c:pt idx="114">
                  <c:v>CUST553</c:v>
                </c:pt>
                <c:pt idx="115">
                  <c:v>CUST481</c:v>
                </c:pt>
                <c:pt idx="116">
                  <c:v>CUST614</c:v>
                </c:pt>
                <c:pt idx="117">
                  <c:v>CUST405</c:v>
                </c:pt>
                <c:pt idx="118">
                  <c:v>CUST484</c:v>
                </c:pt>
                <c:pt idx="119">
                  <c:v>CUST368</c:v>
                </c:pt>
                <c:pt idx="120">
                  <c:v>CUST587</c:v>
                </c:pt>
                <c:pt idx="121">
                  <c:v>CUST424</c:v>
                </c:pt>
                <c:pt idx="122">
                  <c:v>CUST663</c:v>
                </c:pt>
                <c:pt idx="123">
                  <c:v>CUST431</c:v>
                </c:pt>
                <c:pt idx="124">
                  <c:v>CUST482</c:v>
                </c:pt>
                <c:pt idx="125">
                  <c:v>CUST437</c:v>
                </c:pt>
                <c:pt idx="126">
                  <c:v>CUST361</c:v>
                </c:pt>
                <c:pt idx="127">
                  <c:v>CUST441</c:v>
                </c:pt>
                <c:pt idx="128">
                  <c:v>CUST559</c:v>
                </c:pt>
                <c:pt idx="129">
                  <c:v>CUST340</c:v>
                </c:pt>
                <c:pt idx="130">
                  <c:v>CUST597</c:v>
                </c:pt>
                <c:pt idx="131">
                  <c:v>CUST459</c:v>
                </c:pt>
                <c:pt idx="132">
                  <c:v>CUST648</c:v>
                </c:pt>
                <c:pt idx="133">
                  <c:v>CUST462</c:v>
                </c:pt>
                <c:pt idx="134">
                  <c:v>CUST479</c:v>
                </c:pt>
                <c:pt idx="135">
                  <c:v>CUST524</c:v>
                </c:pt>
                <c:pt idx="136">
                  <c:v>CUST308</c:v>
                </c:pt>
                <c:pt idx="137">
                  <c:v>CUST292</c:v>
                </c:pt>
                <c:pt idx="138">
                  <c:v>CUST333</c:v>
                </c:pt>
                <c:pt idx="139">
                  <c:v>CUST058</c:v>
                </c:pt>
                <c:pt idx="140">
                  <c:v>CUST298</c:v>
                </c:pt>
                <c:pt idx="141">
                  <c:v>CUST067</c:v>
                </c:pt>
                <c:pt idx="142">
                  <c:v>CUST107</c:v>
                </c:pt>
                <c:pt idx="143">
                  <c:v>CUST202</c:v>
                </c:pt>
                <c:pt idx="144">
                  <c:v>CUST046</c:v>
                </c:pt>
                <c:pt idx="145">
                  <c:v>CUST142</c:v>
                </c:pt>
                <c:pt idx="146">
                  <c:v>CUST296</c:v>
                </c:pt>
                <c:pt idx="147">
                  <c:v>CUST031</c:v>
                </c:pt>
                <c:pt idx="148">
                  <c:v>CUST181</c:v>
                </c:pt>
                <c:pt idx="149">
                  <c:v>CUST099</c:v>
                </c:pt>
                <c:pt idx="150">
                  <c:v>CUST320</c:v>
                </c:pt>
                <c:pt idx="151">
                  <c:v>CUST165</c:v>
                </c:pt>
                <c:pt idx="152">
                  <c:v>CUST332</c:v>
                </c:pt>
                <c:pt idx="153">
                  <c:v>CUST853</c:v>
                </c:pt>
                <c:pt idx="154">
                  <c:v>CUST966</c:v>
                </c:pt>
                <c:pt idx="155">
                  <c:v>CUST880</c:v>
                </c:pt>
                <c:pt idx="156">
                  <c:v>CUST816</c:v>
                </c:pt>
                <c:pt idx="157">
                  <c:v>CUST850</c:v>
                </c:pt>
                <c:pt idx="158">
                  <c:v>CUST990</c:v>
                </c:pt>
                <c:pt idx="159">
                  <c:v>CUST684</c:v>
                </c:pt>
                <c:pt idx="160">
                  <c:v>CUST994</c:v>
                </c:pt>
                <c:pt idx="161">
                  <c:v>CUST779</c:v>
                </c:pt>
                <c:pt idx="162">
                  <c:v>CUST683</c:v>
                </c:pt>
                <c:pt idx="163">
                  <c:v>CUST986</c:v>
                </c:pt>
                <c:pt idx="164">
                  <c:v>CUST732</c:v>
                </c:pt>
                <c:pt idx="165">
                  <c:v>CUST709</c:v>
                </c:pt>
                <c:pt idx="166">
                  <c:v>CUST393</c:v>
                </c:pt>
                <c:pt idx="167">
                  <c:v>CUST352</c:v>
                </c:pt>
                <c:pt idx="168">
                  <c:v>CUST662</c:v>
                </c:pt>
                <c:pt idx="169">
                  <c:v>CUST453</c:v>
                </c:pt>
                <c:pt idx="170">
                  <c:v>CUST600</c:v>
                </c:pt>
                <c:pt idx="171">
                  <c:v>CUST461</c:v>
                </c:pt>
                <c:pt idx="172">
                  <c:v>CUST395</c:v>
                </c:pt>
                <c:pt idx="173">
                  <c:v>CUST470</c:v>
                </c:pt>
                <c:pt idx="174">
                  <c:v>CUST432</c:v>
                </c:pt>
                <c:pt idx="175">
                  <c:v>CUST418</c:v>
                </c:pt>
                <c:pt idx="176">
                  <c:v>CUST589</c:v>
                </c:pt>
                <c:pt idx="177">
                  <c:v>CUST404</c:v>
                </c:pt>
                <c:pt idx="178">
                  <c:v>CUST605</c:v>
                </c:pt>
                <c:pt idx="179">
                  <c:v>CUST346</c:v>
                </c:pt>
                <c:pt idx="180">
                  <c:v>CUST621</c:v>
                </c:pt>
                <c:pt idx="181">
                  <c:v>CUST382</c:v>
                </c:pt>
                <c:pt idx="182">
                  <c:v>CUST660</c:v>
                </c:pt>
                <c:pt idx="183">
                  <c:v>CUST534</c:v>
                </c:pt>
                <c:pt idx="184">
                  <c:v>CUST297</c:v>
                </c:pt>
                <c:pt idx="185">
                  <c:v>CUST002</c:v>
                </c:pt>
                <c:pt idx="186">
                  <c:v>CUST235</c:v>
                </c:pt>
                <c:pt idx="187">
                  <c:v>CUST104</c:v>
                </c:pt>
                <c:pt idx="188">
                  <c:v>CUST274</c:v>
                </c:pt>
                <c:pt idx="189">
                  <c:v>CUST117</c:v>
                </c:pt>
                <c:pt idx="190">
                  <c:v>CUST094</c:v>
                </c:pt>
                <c:pt idx="191">
                  <c:v>CUST137</c:v>
                </c:pt>
                <c:pt idx="192">
                  <c:v>CUST237</c:v>
                </c:pt>
                <c:pt idx="193">
                  <c:v>CUST153</c:v>
                </c:pt>
                <c:pt idx="194">
                  <c:v>CUST256</c:v>
                </c:pt>
                <c:pt idx="195">
                  <c:v>CUST161</c:v>
                </c:pt>
                <c:pt idx="196">
                  <c:v>CUST275</c:v>
                </c:pt>
                <c:pt idx="197">
                  <c:v>CUST049</c:v>
                </c:pt>
                <c:pt idx="198">
                  <c:v>CUST299</c:v>
                </c:pt>
                <c:pt idx="199">
                  <c:v>CUST026</c:v>
                </c:pt>
                <c:pt idx="200">
                  <c:v>CUST203</c:v>
                </c:pt>
                <c:pt idx="201">
                  <c:v>CUST097</c:v>
                </c:pt>
                <c:pt idx="202">
                  <c:v>CUST950</c:v>
                </c:pt>
                <c:pt idx="203">
                  <c:v>CUST923</c:v>
                </c:pt>
                <c:pt idx="204">
                  <c:v>CUST968</c:v>
                </c:pt>
                <c:pt idx="205">
                  <c:v>CUST722</c:v>
                </c:pt>
                <c:pt idx="206">
                  <c:v>CUST766</c:v>
                </c:pt>
                <c:pt idx="207">
                  <c:v>CUST708</c:v>
                </c:pt>
                <c:pt idx="208">
                  <c:v>CUST782</c:v>
                </c:pt>
                <c:pt idx="209">
                  <c:v>CUST727</c:v>
                </c:pt>
                <c:pt idx="210">
                  <c:v>CUST911</c:v>
                </c:pt>
                <c:pt idx="211">
                  <c:v>CUST806</c:v>
                </c:pt>
                <c:pt idx="212">
                  <c:v>CUST690</c:v>
                </c:pt>
                <c:pt idx="213">
                  <c:v>CUST678</c:v>
                </c:pt>
                <c:pt idx="214">
                  <c:v>CUST680</c:v>
                </c:pt>
                <c:pt idx="215">
                  <c:v>CUST987</c:v>
                </c:pt>
                <c:pt idx="216">
                  <c:v>CUST954</c:v>
                </c:pt>
                <c:pt idx="217">
                  <c:v>CUST886</c:v>
                </c:pt>
                <c:pt idx="218">
                  <c:v>CUST964</c:v>
                </c:pt>
                <c:pt idx="219">
                  <c:v>CUST891</c:v>
                </c:pt>
                <c:pt idx="220">
                  <c:v>CUST969</c:v>
                </c:pt>
                <c:pt idx="221">
                  <c:v>CUST827</c:v>
                </c:pt>
                <c:pt idx="222">
                  <c:v>CUST788</c:v>
                </c:pt>
                <c:pt idx="223">
                  <c:v>CUST624</c:v>
                </c:pt>
                <c:pt idx="224">
                  <c:v>CUST334</c:v>
                </c:pt>
                <c:pt idx="225">
                  <c:v>CUST491</c:v>
                </c:pt>
                <c:pt idx="226">
                  <c:v>CUST550</c:v>
                </c:pt>
                <c:pt idx="227">
                  <c:v>CUST509</c:v>
                </c:pt>
                <c:pt idx="228">
                  <c:v>CUST409</c:v>
                </c:pt>
                <c:pt idx="229">
                  <c:v>CUST457</c:v>
                </c:pt>
                <c:pt idx="230">
                  <c:v>CUST472</c:v>
                </c:pt>
                <c:pt idx="231">
                  <c:v>CUST590</c:v>
                </c:pt>
                <c:pt idx="232">
                  <c:v>CUST435</c:v>
                </c:pt>
                <c:pt idx="233">
                  <c:v>CUST417</c:v>
                </c:pt>
                <c:pt idx="234">
                  <c:v>CUST488</c:v>
                </c:pt>
                <c:pt idx="235">
                  <c:v>CUST515</c:v>
                </c:pt>
                <c:pt idx="236">
                  <c:v>CUST567</c:v>
                </c:pt>
                <c:pt idx="237">
                  <c:v>CUST635</c:v>
                </c:pt>
                <c:pt idx="238">
                  <c:v>CUST582</c:v>
                </c:pt>
                <c:pt idx="239">
                  <c:v>CUST430</c:v>
                </c:pt>
                <c:pt idx="240">
                  <c:v>CUST407</c:v>
                </c:pt>
                <c:pt idx="241">
                  <c:v>CUST540</c:v>
                </c:pt>
                <c:pt idx="242">
                  <c:v>CUST551</c:v>
                </c:pt>
                <c:pt idx="243">
                  <c:v>CUST243</c:v>
                </c:pt>
                <c:pt idx="244">
                  <c:v>CUST196</c:v>
                </c:pt>
                <c:pt idx="245">
                  <c:v>CUST265</c:v>
                </c:pt>
                <c:pt idx="246">
                  <c:v>CUST133</c:v>
                </c:pt>
                <c:pt idx="247">
                  <c:v>CUST030</c:v>
                </c:pt>
                <c:pt idx="248">
                  <c:v>CUST154</c:v>
                </c:pt>
                <c:pt idx="249">
                  <c:v>CUST020</c:v>
                </c:pt>
                <c:pt idx="250">
                  <c:v>CUST035</c:v>
                </c:pt>
                <c:pt idx="251">
                  <c:v>CUST183</c:v>
                </c:pt>
                <c:pt idx="252">
                  <c:v>CUST048</c:v>
                </c:pt>
                <c:pt idx="253">
                  <c:v>CUST198</c:v>
                </c:pt>
                <c:pt idx="254">
                  <c:v>CUST110</c:v>
                </c:pt>
                <c:pt idx="255">
                  <c:v>CUST323</c:v>
                </c:pt>
                <c:pt idx="256">
                  <c:v>CUST036</c:v>
                </c:pt>
                <c:pt idx="257">
                  <c:v>CUST248</c:v>
                </c:pt>
                <c:pt idx="258">
                  <c:v>CUST171</c:v>
                </c:pt>
                <c:pt idx="259">
                  <c:v>CUST264</c:v>
                </c:pt>
                <c:pt idx="260">
                  <c:v>CUST180</c:v>
                </c:pt>
                <c:pt idx="261">
                  <c:v>CUST295</c:v>
                </c:pt>
                <c:pt idx="262">
                  <c:v>CUST056</c:v>
                </c:pt>
                <c:pt idx="263">
                  <c:v>CUST042</c:v>
                </c:pt>
                <c:pt idx="264">
                  <c:v>CUST976</c:v>
                </c:pt>
                <c:pt idx="265">
                  <c:v>CUST838</c:v>
                </c:pt>
                <c:pt idx="266">
                  <c:v>CUST842</c:v>
                </c:pt>
                <c:pt idx="267">
                  <c:v>CUST702</c:v>
                </c:pt>
                <c:pt idx="268">
                  <c:v>CUST899</c:v>
                </c:pt>
                <c:pt idx="269">
                  <c:v>CUST398</c:v>
                </c:pt>
                <c:pt idx="270">
                  <c:v>CUST440</c:v>
                </c:pt>
                <c:pt idx="271">
                  <c:v>CUST594</c:v>
                </c:pt>
                <c:pt idx="272">
                  <c:v>CUST348</c:v>
                </c:pt>
                <c:pt idx="273">
                  <c:v>CUST380</c:v>
                </c:pt>
                <c:pt idx="274">
                  <c:v>CUST496</c:v>
                </c:pt>
                <c:pt idx="275">
                  <c:v>CUST649</c:v>
                </c:pt>
                <c:pt idx="276">
                  <c:v>CUST403</c:v>
                </c:pt>
                <c:pt idx="277">
                  <c:v>CUST392</c:v>
                </c:pt>
                <c:pt idx="278">
                  <c:v>CUST402</c:v>
                </c:pt>
                <c:pt idx="279">
                  <c:v>CUST610</c:v>
                </c:pt>
                <c:pt idx="280">
                  <c:v>CUST464</c:v>
                </c:pt>
                <c:pt idx="281">
                  <c:v>CUST637</c:v>
                </c:pt>
                <c:pt idx="282">
                  <c:v>CUST508</c:v>
                </c:pt>
                <c:pt idx="283">
                  <c:v>CUST443</c:v>
                </c:pt>
                <c:pt idx="284">
                  <c:v>CUST386</c:v>
                </c:pt>
                <c:pt idx="285">
                  <c:v>CUST373</c:v>
                </c:pt>
                <c:pt idx="286">
                  <c:v>CUST543</c:v>
                </c:pt>
                <c:pt idx="287">
                  <c:v>CUST290</c:v>
                </c:pt>
                <c:pt idx="288">
                  <c:v>CUST096</c:v>
                </c:pt>
                <c:pt idx="289">
                  <c:v>CUST129</c:v>
                </c:pt>
                <c:pt idx="290">
                  <c:v>CUST233</c:v>
                </c:pt>
                <c:pt idx="291">
                  <c:v>CUST131</c:v>
                </c:pt>
                <c:pt idx="292">
                  <c:v>CUST158</c:v>
                </c:pt>
                <c:pt idx="293">
                  <c:v>CUST291</c:v>
                </c:pt>
                <c:pt idx="294">
                  <c:v>CUST101</c:v>
                </c:pt>
                <c:pt idx="295">
                  <c:v>CUST302</c:v>
                </c:pt>
                <c:pt idx="296">
                  <c:v>CUST009</c:v>
                </c:pt>
                <c:pt idx="297">
                  <c:v>CUST136</c:v>
                </c:pt>
                <c:pt idx="298">
                  <c:v>CUST221</c:v>
                </c:pt>
                <c:pt idx="299">
                  <c:v>CUST697</c:v>
                </c:pt>
                <c:pt idx="300">
                  <c:v>CUST864</c:v>
                </c:pt>
                <c:pt idx="301">
                  <c:v>CUST717</c:v>
                </c:pt>
                <c:pt idx="302">
                  <c:v>CUST714</c:v>
                </c:pt>
                <c:pt idx="303">
                  <c:v>CUST721</c:v>
                </c:pt>
                <c:pt idx="304">
                  <c:v>CUST760</c:v>
                </c:pt>
                <c:pt idx="305">
                  <c:v>CUST984</c:v>
                </c:pt>
                <c:pt idx="306">
                  <c:v>CUST934</c:v>
                </c:pt>
                <c:pt idx="307">
                  <c:v>CUST707</c:v>
                </c:pt>
                <c:pt idx="308">
                  <c:v>CUST937</c:v>
                </c:pt>
                <c:pt idx="309">
                  <c:v>CUST784</c:v>
                </c:pt>
                <c:pt idx="310">
                  <c:v>CUST761</c:v>
                </c:pt>
                <c:pt idx="311">
                  <c:v>CUST867</c:v>
                </c:pt>
                <c:pt idx="312">
                  <c:v>CUST814</c:v>
                </c:pt>
                <c:pt idx="313">
                  <c:v>CUST914</c:v>
                </c:pt>
                <c:pt idx="314">
                  <c:v>CUST883</c:v>
                </c:pt>
                <c:pt idx="315">
                  <c:v>CUST781</c:v>
                </c:pt>
                <c:pt idx="316">
                  <c:v>CUST845</c:v>
                </c:pt>
                <c:pt idx="317">
                  <c:v>CUST904</c:v>
                </c:pt>
                <c:pt idx="318">
                  <c:v>CUST818</c:v>
                </c:pt>
                <c:pt idx="319">
                  <c:v>CUST541</c:v>
                </c:pt>
                <c:pt idx="320">
                  <c:v>CUST337</c:v>
                </c:pt>
                <c:pt idx="321">
                  <c:v>CUST364</c:v>
                </c:pt>
                <c:pt idx="322">
                  <c:v>CUST570</c:v>
                </c:pt>
                <c:pt idx="323">
                  <c:v>CUST355</c:v>
                </c:pt>
                <c:pt idx="324">
                  <c:v>CUST353</c:v>
                </c:pt>
                <c:pt idx="325">
                  <c:v>CUST539</c:v>
                </c:pt>
                <c:pt idx="326">
                  <c:v>CUST531</c:v>
                </c:pt>
                <c:pt idx="327">
                  <c:v>CUST638</c:v>
                </c:pt>
                <c:pt idx="328">
                  <c:v>CUST394</c:v>
                </c:pt>
                <c:pt idx="329">
                  <c:v>CUST384</c:v>
                </c:pt>
                <c:pt idx="330">
                  <c:v>CUST612</c:v>
                </c:pt>
                <c:pt idx="331">
                  <c:v>CUST655</c:v>
                </c:pt>
                <c:pt idx="332">
                  <c:v>CUST408</c:v>
                </c:pt>
                <c:pt idx="333">
                  <c:v>CUST537</c:v>
                </c:pt>
                <c:pt idx="334">
                  <c:v>CUST667</c:v>
                </c:pt>
                <c:pt idx="335">
                  <c:v>CUST105</c:v>
                </c:pt>
                <c:pt idx="336">
                  <c:v>CUST319</c:v>
                </c:pt>
                <c:pt idx="337">
                  <c:v>CUST091</c:v>
                </c:pt>
                <c:pt idx="338">
                  <c:v>CUST283</c:v>
                </c:pt>
                <c:pt idx="339">
                  <c:v>CUST322</c:v>
                </c:pt>
                <c:pt idx="340">
                  <c:v>CUST238</c:v>
                </c:pt>
                <c:pt idx="341">
                  <c:v>CUST028</c:v>
                </c:pt>
                <c:pt idx="342">
                  <c:v>CUST254</c:v>
                </c:pt>
                <c:pt idx="343">
                  <c:v>CUST130</c:v>
                </c:pt>
                <c:pt idx="344">
                  <c:v>CUST220</c:v>
                </c:pt>
                <c:pt idx="345">
                  <c:v>CUST021</c:v>
                </c:pt>
                <c:pt idx="346">
                  <c:v>CUST128</c:v>
                </c:pt>
                <c:pt idx="347">
                  <c:v>CUST088</c:v>
                </c:pt>
                <c:pt idx="348">
                  <c:v>CUST279</c:v>
                </c:pt>
                <c:pt idx="349">
                  <c:v>CUST004</c:v>
                </c:pt>
                <c:pt idx="350">
                  <c:v>CUST821</c:v>
                </c:pt>
                <c:pt idx="351">
                  <c:v>CUST865</c:v>
                </c:pt>
                <c:pt idx="352">
                  <c:v>CUST698</c:v>
                </c:pt>
                <c:pt idx="353">
                  <c:v>CUST905</c:v>
                </c:pt>
                <c:pt idx="354">
                  <c:v>CUST687</c:v>
                </c:pt>
                <c:pt idx="355">
                  <c:v>CUST909</c:v>
                </c:pt>
                <c:pt idx="356">
                  <c:v>CUST983</c:v>
                </c:pt>
                <c:pt idx="357">
                  <c:v>CUST794</c:v>
                </c:pt>
                <c:pt idx="358">
                  <c:v>CUST725</c:v>
                </c:pt>
                <c:pt idx="359">
                  <c:v>CUST795</c:v>
                </c:pt>
                <c:pt idx="360">
                  <c:v>CUST868</c:v>
                </c:pt>
                <c:pt idx="361">
                  <c:v>CUST925</c:v>
                </c:pt>
                <c:pt idx="362">
                  <c:v>CUST783</c:v>
                </c:pt>
                <c:pt idx="363">
                  <c:v>CUST852</c:v>
                </c:pt>
                <c:pt idx="364">
                  <c:v>CUST881</c:v>
                </c:pt>
                <c:pt idx="365">
                  <c:v>CUST939</c:v>
                </c:pt>
                <c:pt idx="366">
                  <c:v>CUST826</c:v>
                </c:pt>
                <c:pt idx="367">
                  <c:v>CUST947</c:v>
                </c:pt>
                <c:pt idx="368">
                  <c:v>CUST741</c:v>
                </c:pt>
                <c:pt idx="369">
                  <c:v>CUST674</c:v>
                </c:pt>
                <c:pt idx="370">
                  <c:v>CUST568</c:v>
                </c:pt>
                <c:pt idx="371">
                  <c:v>CUST596</c:v>
                </c:pt>
                <c:pt idx="372">
                  <c:v>CUST378</c:v>
                </c:pt>
                <c:pt idx="373">
                  <c:v>CUST555</c:v>
                </c:pt>
                <c:pt idx="374">
                  <c:v>CUST365</c:v>
                </c:pt>
                <c:pt idx="375">
                  <c:v>CUST445</c:v>
                </c:pt>
                <c:pt idx="376">
                  <c:v>CUST625</c:v>
                </c:pt>
                <c:pt idx="377">
                  <c:v>CUST602</c:v>
                </c:pt>
                <c:pt idx="378">
                  <c:v>CUST358</c:v>
                </c:pt>
                <c:pt idx="379">
                  <c:v>CUST641</c:v>
                </c:pt>
                <c:pt idx="380">
                  <c:v>CUST401</c:v>
                </c:pt>
                <c:pt idx="381">
                  <c:v>CUST523</c:v>
                </c:pt>
                <c:pt idx="382">
                  <c:v>CUST514</c:v>
                </c:pt>
                <c:pt idx="383">
                  <c:v>CUST252</c:v>
                </c:pt>
                <c:pt idx="384">
                  <c:v>CUST068</c:v>
                </c:pt>
                <c:pt idx="385">
                  <c:v>CUST079</c:v>
                </c:pt>
                <c:pt idx="386">
                  <c:v>CUST168</c:v>
                </c:pt>
                <c:pt idx="387">
                  <c:v>CUST043</c:v>
                </c:pt>
                <c:pt idx="388">
                  <c:v>CUST174</c:v>
                </c:pt>
                <c:pt idx="389">
                  <c:v>CUST052</c:v>
                </c:pt>
                <c:pt idx="390">
                  <c:v>CUST179</c:v>
                </c:pt>
                <c:pt idx="391">
                  <c:v>CUST147</c:v>
                </c:pt>
                <c:pt idx="392">
                  <c:v>CUST240</c:v>
                </c:pt>
                <c:pt idx="393">
                  <c:v>CUST070</c:v>
                </c:pt>
                <c:pt idx="394">
                  <c:v>CUST024</c:v>
                </c:pt>
                <c:pt idx="395">
                  <c:v>CUST270</c:v>
                </c:pt>
                <c:pt idx="396">
                  <c:v>CUST903</c:v>
                </c:pt>
                <c:pt idx="397">
                  <c:v>CUST723</c:v>
                </c:pt>
                <c:pt idx="398">
                  <c:v>CUST740</c:v>
                </c:pt>
                <c:pt idx="399">
                  <c:v>CUST860</c:v>
                </c:pt>
                <c:pt idx="400">
                  <c:v>CUST971</c:v>
                </c:pt>
                <c:pt idx="401">
                  <c:v>CUST917</c:v>
                </c:pt>
                <c:pt idx="402">
                  <c:v>CUST686</c:v>
                </c:pt>
                <c:pt idx="403">
                  <c:v>CUST696</c:v>
                </c:pt>
                <c:pt idx="404">
                  <c:v>CUST930</c:v>
                </c:pt>
                <c:pt idx="405">
                  <c:v>CUST835</c:v>
                </c:pt>
                <c:pt idx="406">
                  <c:v>CUST936</c:v>
                </c:pt>
                <c:pt idx="407">
                  <c:v>CUST801</c:v>
                </c:pt>
                <c:pt idx="408">
                  <c:v>CUST975</c:v>
                </c:pt>
                <c:pt idx="409">
                  <c:v>CUST961</c:v>
                </c:pt>
                <c:pt idx="410">
                  <c:v>CUST938</c:v>
                </c:pt>
                <c:pt idx="411">
                  <c:v>CUST817</c:v>
                </c:pt>
                <c:pt idx="412">
                  <c:v>CUST785</c:v>
                </c:pt>
                <c:pt idx="413">
                  <c:v>CUST965</c:v>
                </c:pt>
                <c:pt idx="414">
                  <c:v>CUST765</c:v>
                </c:pt>
                <c:pt idx="415">
                  <c:v>CUST807</c:v>
                </c:pt>
                <c:pt idx="416">
                  <c:v>CUST820</c:v>
                </c:pt>
                <c:pt idx="417">
                  <c:v>CUST833</c:v>
                </c:pt>
                <c:pt idx="418">
                  <c:v>CUST341</c:v>
                </c:pt>
                <c:pt idx="419">
                  <c:v>CUST411</c:v>
                </c:pt>
                <c:pt idx="420">
                  <c:v>CUST428</c:v>
                </c:pt>
                <c:pt idx="421">
                  <c:v>CUST377</c:v>
                </c:pt>
                <c:pt idx="422">
                  <c:v>CUST628</c:v>
                </c:pt>
                <c:pt idx="423">
                  <c:v>CUST546</c:v>
                </c:pt>
                <c:pt idx="424">
                  <c:v>CUST584</c:v>
                </c:pt>
                <c:pt idx="425">
                  <c:v>CUST400</c:v>
                </c:pt>
                <c:pt idx="426">
                  <c:v>CUST510</c:v>
                </c:pt>
                <c:pt idx="427">
                  <c:v>CUST449</c:v>
                </c:pt>
                <c:pt idx="428">
                  <c:v>CUST433</c:v>
                </c:pt>
                <c:pt idx="429">
                  <c:v>CUST569</c:v>
                </c:pt>
                <c:pt idx="430">
                  <c:v>CUST639</c:v>
                </c:pt>
                <c:pt idx="431">
                  <c:v>CUST494</c:v>
                </c:pt>
                <c:pt idx="432">
                  <c:v>CUST354</c:v>
                </c:pt>
                <c:pt idx="433">
                  <c:v>CUST604</c:v>
                </c:pt>
                <c:pt idx="434">
                  <c:v>CUST208</c:v>
                </c:pt>
                <c:pt idx="435">
                  <c:v>CUST186</c:v>
                </c:pt>
                <c:pt idx="436">
                  <c:v>CUST075</c:v>
                </c:pt>
                <c:pt idx="437">
                  <c:v>CUST259</c:v>
                </c:pt>
                <c:pt idx="438">
                  <c:v>CUST061</c:v>
                </c:pt>
                <c:pt idx="439">
                  <c:v>CUST132</c:v>
                </c:pt>
                <c:pt idx="440">
                  <c:v>CUST209</c:v>
                </c:pt>
                <c:pt idx="441">
                  <c:v>CUST194</c:v>
                </c:pt>
                <c:pt idx="442">
                  <c:v>CUST184</c:v>
                </c:pt>
                <c:pt idx="443">
                  <c:v>CUST217</c:v>
                </c:pt>
                <c:pt idx="444">
                  <c:v>CUST082</c:v>
                </c:pt>
                <c:pt idx="445">
                  <c:v>CUST121</c:v>
                </c:pt>
                <c:pt idx="446">
                  <c:v>CUST038</c:v>
                </c:pt>
                <c:pt idx="447">
                  <c:v>CUST138</c:v>
                </c:pt>
                <c:pt idx="448">
                  <c:v>CUST300</c:v>
                </c:pt>
                <c:pt idx="449">
                  <c:v>CUST251</c:v>
                </c:pt>
                <c:pt idx="450">
                  <c:v>CUST210</c:v>
                </c:pt>
                <c:pt idx="451">
                  <c:v>CUST282</c:v>
                </c:pt>
                <c:pt idx="452">
                  <c:v>CUST159</c:v>
                </c:pt>
                <c:pt idx="453">
                  <c:v>CUST197</c:v>
                </c:pt>
                <c:pt idx="454">
                  <c:v>CUST330</c:v>
                </c:pt>
                <c:pt idx="455">
                  <c:v>CUST284</c:v>
                </c:pt>
                <c:pt idx="456">
                  <c:v>CUST146</c:v>
                </c:pt>
                <c:pt idx="457">
                  <c:v>CUST010</c:v>
                </c:pt>
                <c:pt idx="458">
                  <c:v>CUST978</c:v>
                </c:pt>
                <c:pt idx="459">
                  <c:v>CUST777</c:v>
                </c:pt>
                <c:pt idx="460">
                  <c:v>CUST910</c:v>
                </c:pt>
                <c:pt idx="461">
                  <c:v>CUST813</c:v>
                </c:pt>
                <c:pt idx="462">
                  <c:v>CUST724</c:v>
                </c:pt>
                <c:pt idx="463">
                  <c:v>CUST822</c:v>
                </c:pt>
                <c:pt idx="464">
                  <c:v>CUST695</c:v>
                </c:pt>
                <c:pt idx="465">
                  <c:v>CUST830</c:v>
                </c:pt>
                <c:pt idx="466">
                  <c:v>CUST912</c:v>
                </c:pt>
                <c:pt idx="467">
                  <c:v>CUST668</c:v>
                </c:pt>
                <c:pt idx="468">
                  <c:v>CUST671</c:v>
                </c:pt>
                <c:pt idx="469">
                  <c:v>CUST748</c:v>
                </c:pt>
                <c:pt idx="470">
                  <c:v>CUST728</c:v>
                </c:pt>
                <c:pt idx="471">
                  <c:v>CUST844</c:v>
                </c:pt>
                <c:pt idx="472">
                  <c:v>CUST993</c:v>
                </c:pt>
                <c:pt idx="473">
                  <c:v>CUST999</c:v>
                </c:pt>
                <c:pt idx="474">
                  <c:v>CUST490</c:v>
                </c:pt>
                <c:pt idx="475">
                  <c:v>CUST467</c:v>
                </c:pt>
                <c:pt idx="476">
                  <c:v>CUST465</c:v>
                </c:pt>
                <c:pt idx="477">
                  <c:v>CUST576</c:v>
                </c:pt>
                <c:pt idx="478">
                  <c:v>CUST471</c:v>
                </c:pt>
                <c:pt idx="479">
                  <c:v>CUST554</c:v>
                </c:pt>
                <c:pt idx="480">
                  <c:v>CUST538</c:v>
                </c:pt>
                <c:pt idx="481">
                  <c:v>CUST502</c:v>
                </c:pt>
                <c:pt idx="482">
                  <c:v>CUST529</c:v>
                </c:pt>
                <c:pt idx="483">
                  <c:v>CUST504</c:v>
                </c:pt>
                <c:pt idx="484">
                  <c:v>CUST336</c:v>
                </c:pt>
                <c:pt idx="485">
                  <c:v>CUST426</c:v>
                </c:pt>
                <c:pt idx="486">
                  <c:v>CUST651</c:v>
                </c:pt>
                <c:pt idx="487">
                  <c:v>CUST666</c:v>
                </c:pt>
                <c:pt idx="488">
                  <c:v>CUST623</c:v>
                </c:pt>
                <c:pt idx="489">
                  <c:v>CUST324</c:v>
                </c:pt>
                <c:pt idx="490">
                  <c:v>CUST231</c:v>
                </c:pt>
                <c:pt idx="491">
                  <c:v>CUST163</c:v>
                </c:pt>
                <c:pt idx="492">
                  <c:v>CUST327</c:v>
                </c:pt>
                <c:pt idx="493">
                  <c:v>CUST060</c:v>
                </c:pt>
                <c:pt idx="494">
                  <c:v>CUST085</c:v>
                </c:pt>
                <c:pt idx="495">
                  <c:v>CUST119</c:v>
                </c:pt>
                <c:pt idx="496">
                  <c:v>CUST034</c:v>
                </c:pt>
                <c:pt idx="497">
                  <c:v>CUST200</c:v>
                </c:pt>
                <c:pt idx="498">
                  <c:v>CUST001</c:v>
                </c:pt>
                <c:pt idx="499">
                  <c:v>CUST167</c:v>
                </c:pt>
                <c:pt idx="500">
                  <c:v>CUST796</c:v>
                </c:pt>
                <c:pt idx="501">
                  <c:v>CUST769</c:v>
                </c:pt>
                <c:pt idx="502">
                  <c:v>CUST870</c:v>
                </c:pt>
                <c:pt idx="503">
                  <c:v>CUST895</c:v>
                </c:pt>
                <c:pt idx="504">
                  <c:v>CUST957</c:v>
                </c:pt>
                <c:pt idx="505">
                  <c:v>CUST931</c:v>
                </c:pt>
                <c:pt idx="506">
                  <c:v>CUST856</c:v>
                </c:pt>
                <c:pt idx="507">
                  <c:v>CUST824</c:v>
                </c:pt>
                <c:pt idx="508">
                  <c:v>CUST876</c:v>
                </c:pt>
                <c:pt idx="509">
                  <c:v>CUST699</c:v>
                </c:pt>
                <c:pt idx="510">
                  <c:v>CUST885</c:v>
                </c:pt>
                <c:pt idx="511">
                  <c:v>CUST645</c:v>
                </c:pt>
                <c:pt idx="512">
                  <c:v>CUST425</c:v>
                </c:pt>
                <c:pt idx="513">
                  <c:v>CUST578</c:v>
                </c:pt>
                <c:pt idx="514">
                  <c:v>CUST598</c:v>
                </c:pt>
                <c:pt idx="515">
                  <c:v>CUST436</c:v>
                </c:pt>
                <c:pt idx="516">
                  <c:v>CUST633</c:v>
                </c:pt>
                <c:pt idx="517">
                  <c:v>CUST532</c:v>
                </c:pt>
                <c:pt idx="518">
                  <c:v>CUST497</c:v>
                </c:pt>
                <c:pt idx="519">
                  <c:v>CUST335</c:v>
                </c:pt>
                <c:pt idx="520">
                  <c:v>CUST530</c:v>
                </c:pt>
                <c:pt idx="521">
                  <c:v>CUST536</c:v>
                </c:pt>
                <c:pt idx="522">
                  <c:v>CUST640</c:v>
                </c:pt>
                <c:pt idx="523">
                  <c:v>CUST521</c:v>
                </c:pt>
                <c:pt idx="524">
                  <c:v>CUST477</c:v>
                </c:pt>
                <c:pt idx="525">
                  <c:v>CUST519</c:v>
                </c:pt>
                <c:pt idx="526">
                  <c:v>CUST314</c:v>
                </c:pt>
                <c:pt idx="527">
                  <c:v>CUST222</c:v>
                </c:pt>
                <c:pt idx="528">
                  <c:v>CUST023</c:v>
                </c:pt>
                <c:pt idx="529">
                  <c:v>CUST039</c:v>
                </c:pt>
                <c:pt idx="530">
                  <c:v>CUST173</c:v>
                </c:pt>
                <c:pt idx="531">
                  <c:v>CUST150</c:v>
                </c:pt>
                <c:pt idx="532">
                  <c:v>CUST122</c:v>
                </c:pt>
                <c:pt idx="533">
                  <c:v>CUST262</c:v>
                </c:pt>
                <c:pt idx="534">
                  <c:v>CUST1000</c:v>
                </c:pt>
                <c:pt idx="535">
                  <c:v>CUST055</c:v>
                </c:pt>
                <c:pt idx="536">
                  <c:v>CUST301</c:v>
                </c:pt>
                <c:pt idx="537">
                  <c:v>CUST271</c:v>
                </c:pt>
                <c:pt idx="538">
                  <c:v>CUST312</c:v>
                </c:pt>
                <c:pt idx="539">
                  <c:v>CUST014</c:v>
                </c:pt>
                <c:pt idx="540">
                  <c:v>CUST182</c:v>
                </c:pt>
                <c:pt idx="541">
                  <c:v>CUST092</c:v>
                </c:pt>
                <c:pt idx="542">
                  <c:v>CUST288</c:v>
                </c:pt>
                <c:pt idx="543">
                  <c:v>CUST803</c:v>
                </c:pt>
                <c:pt idx="544">
                  <c:v>CUST754</c:v>
                </c:pt>
                <c:pt idx="545">
                  <c:v>CUST932</c:v>
                </c:pt>
                <c:pt idx="546">
                  <c:v>CUST689</c:v>
                </c:pt>
                <c:pt idx="547">
                  <c:v>CUST799</c:v>
                </c:pt>
                <c:pt idx="548">
                  <c:v>CUST715</c:v>
                </c:pt>
                <c:pt idx="549">
                  <c:v>CUST873</c:v>
                </c:pt>
                <c:pt idx="550">
                  <c:v>CUST809</c:v>
                </c:pt>
                <c:pt idx="551">
                  <c:v>CUST858</c:v>
                </c:pt>
                <c:pt idx="552">
                  <c:v>CUST887</c:v>
                </c:pt>
                <c:pt idx="553">
                  <c:v>CUST692</c:v>
                </c:pt>
                <c:pt idx="554">
                  <c:v>CUST888</c:v>
                </c:pt>
                <c:pt idx="555">
                  <c:v>CUST703</c:v>
                </c:pt>
                <c:pt idx="556">
                  <c:v>CUST819</c:v>
                </c:pt>
                <c:pt idx="557">
                  <c:v>CUST991</c:v>
                </c:pt>
                <c:pt idx="558">
                  <c:v>CUST998</c:v>
                </c:pt>
                <c:pt idx="559">
                  <c:v>CUST752</c:v>
                </c:pt>
                <c:pt idx="560">
                  <c:v>CUST831</c:v>
                </c:pt>
                <c:pt idx="561">
                  <c:v>CUST736</c:v>
                </c:pt>
                <c:pt idx="562">
                  <c:v>CUST738</c:v>
                </c:pt>
                <c:pt idx="563">
                  <c:v>CUST786</c:v>
                </c:pt>
                <c:pt idx="564">
                  <c:v>CUST810</c:v>
                </c:pt>
                <c:pt idx="565">
                  <c:v>CUST951</c:v>
                </c:pt>
                <c:pt idx="566">
                  <c:v>CUST745</c:v>
                </c:pt>
                <c:pt idx="567">
                  <c:v>CUST758</c:v>
                </c:pt>
                <c:pt idx="568">
                  <c:v>CUST841</c:v>
                </c:pt>
                <c:pt idx="569">
                  <c:v>CUST759</c:v>
                </c:pt>
                <c:pt idx="570">
                  <c:v>CUST706</c:v>
                </c:pt>
                <c:pt idx="571">
                  <c:v>CUST972</c:v>
                </c:pt>
                <c:pt idx="572">
                  <c:v>CUST775</c:v>
                </c:pt>
                <c:pt idx="573">
                  <c:v>CUST672</c:v>
                </c:pt>
                <c:pt idx="574">
                  <c:v>CUST823</c:v>
                </c:pt>
                <c:pt idx="575">
                  <c:v>CUST688</c:v>
                </c:pt>
                <c:pt idx="576">
                  <c:v>CUST924</c:v>
                </c:pt>
                <c:pt idx="577">
                  <c:v>CUST778</c:v>
                </c:pt>
                <c:pt idx="578">
                  <c:v>CUST897</c:v>
                </c:pt>
                <c:pt idx="579">
                  <c:v>CUST517</c:v>
                </c:pt>
                <c:pt idx="580">
                  <c:v>CUST575</c:v>
                </c:pt>
                <c:pt idx="581">
                  <c:v>CUST599</c:v>
                </c:pt>
                <c:pt idx="582">
                  <c:v>CUST591</c:v>
                </c:pt>
                <c:pt idx="583">
                  <c:v>CUST652</c:v>
                </c:pt>
                <c:pt idx="584">
                  <c:v>CUST616</c:v>
                </c:pt>
                <c:pt idx="585">
                  <c:v>CUST406</c:v>
                </c:pt>
                <c:pt idx="586">
                  <c:v>CUST619</c:v>
                </c:pt>
                <c:pt idx="587">
                  <c:v>CUST642</c:v>
                </c:pt>
                <c:pt idx="588">
                  <c:v>CUST520</c:v>
                </c:pt>
                <c:pt idx="589">
                  <c:v>CUST410</c:v>
                </c:pt>
                <c:pt idx="590">
                  <c:v>CUST498</c:v>
                </c:pt>
                <c:pt idx="591">
                  <c:v>CUST516</c:v>
                </c:pt>
                <c:pt idx="592">
                  <c:v>CUST583</c:v>
                </c:pt>
                <c:pt idx="593">
                  <c:v>CUST390</c:v>
                </c:pt>
                <c:pt idx="594">
                  <c:v>CUST564</c:v>
                </c:pt>
                <c:pt idx="595">
                  <c:v>CUST492</c:v>
                </c:pt>
                <c:pt idx="596">
                  <c:v>CUST458</c:v>
                </c:pt>
                <c:pt idx="597">
                  <c:v>CUST381</c:v>
                </c:pt>
                <c:pt idx="598">
                  <c:v>CUST549</c:v>
                </c:pt>
                <c:pt idx="599">
                  <c:v>CUST511</c:v>
                </c:pt>
                <c:pt idx="600">
                  <c:v>CUST630</c:v>
                </c:pt>
                <c:pt idx="601">
                  <c:v>CUST366</c:v>
                </c:pt>
                <c:pt idx="602">
                  <c:v>CUST632</c:v>
                </c:pt>
                <c:pt idx="603">
                  <c:v>CUST609</c:v>
                </c:pt>
                <c:pt idx="604">
                  <c:v>CUST338</c:v>
                </c:pt>
                <c:pt idx="605">
                  <c:v>CUST455</c:v>
                </c:pt>
                <c:pt idx="606">
                  <c:v>CUST360</c:v>
                </c:pt>
                <c:pt idx="607">
                  <c:v>CUST661</c:v>
                </c:pt>
                <c:pt idx="608">
                  <c:v>CUST466</c:v>
                </c:pt>
                <c:pt idx="609">
                  <c:v>CUST414</c:v>
                </c:pt>
                <c:pt idx="610">
                  <c:v>CUST526</c:v>
                </c:pt>
                <c:pt idx="611">
                  <c:v>CUST442</c:v>
                </c:pt>
                <c:pt idx="612">
                  <c:v>CUST615</c:v>
                </c:pt>
                <c:pt idx="613">
                  <c:v>CUST513</c:v>
                </c:pt>
                <c:pt idx="614">
                  <c:v>CUST500</c:v>
                </c:pt>
                <c:pt idx="615">
                  <c:v>CUST328</c:v>
                </c:pt>
                <c:pt idx="616">
                  <c:v>CUST053</c:v>
                </c:pt>
                <c:pt idx="617">
                  <c:v>CUST227</c:v>
                </c:pt>
                <c:pt idx="618">
                  <c:v>CUST278</c:v>
                </c:pt>
                <c:pt idx="619">
                  <c:v>CUST062</c:v>
                </c:pt>
                <c:pt idx="620">
                  <c:v>CUST071</c:v>
                </c:pt>
                <c:pt idx="621">
                  <c:v>CUST277</c:v>
                </c:pt>
                <c:pt idx="622">
                  <c:v>CUST160</c:v>
                </c:pt>
                <c:pt idx="623">
                  <c:v>CUST311</c:v>
                </c:pt>
                <c:pt idx="624">
                  <c:v>CUST114</c:v>
                </c:pt>
                <c:pt idx="625">
                  <c:v>CUST176</c:v>
                </c:pt>
                <c:pt idx="626">
                  <c:v>CUST033</c:v>
                </c:pt>
                <c:pt idx="627">
                  <c:v>CUST011</c:v>
                </c:pt>
                <c:pt idx="628">
                  <c:v>CUST125</c:v>
                </c:pt>
                <c:pt idx="629">
                  <c:v>CUST244</c:v>
                </c:pt>
                <c:pt idx="630">
                  <c:v>CUST287</c:v>
                </c:pt>
                <c:pt idx="631">
                  <c:v>CUST187</c:v>
                </c:pt>
                <c:pt idx="632">
                  <c:v>CUST083</c:v>
                </c:pt>
                <c:pt idx="633">
                  <c:v>CUST272</c:v>
                </c:pt>
                <c:pt idx="634">
                  <c:v>CUST005</c:v>
                </c:pt>
                <c:pt idx="635">
                  <c:v>CUST087</c:v>
                </c:pt>
                <c:pt idx="636">
                  <c:v>CUST098</c:v>
                </c:pt>
                <c:pt idx="637">
                  <c:v>CUST192</c:v>
                </c:pt>
                <c:pt idx="638">
                  <c:v>CUST022</c:v>
                </c:pt>
                <c:pt idx="639">
                  <c:v>CUST177</c:v>
                </c:pt>
                <c:pt idx="640">
                  <c:v>CUST216</c:v>
                </c:pt>
                <c:pt idx="641">
                  <c:v>CUST008</c:v>
                </c:pt>
                <c:pt idx="642">
                  <c:v>CUST017</c:v>
                </c:pt>
                <c:pt idx="643">
                  <c:v>CUST276</c:v>
                </c:pt>
                <c:pt idx="644">
                  <c:v>CUST076</c:v>
                </c:pt>
                <c:pt idx="645">
                  <c:v>CUST329</c:v>
                </c:pt>
                <c:pt idx="646">
                  <c:v>CUST077</c:v>
                </c:pt>
                <c:pt idx="647">
                  <c:v>CUST064</c:v>
                </c:pt>
                <c:pt idx="648">
                  <c:v>CUST156</c:v>
                </c:pt>
                <c:pt idx="649">
                  <c:v>CUST225</c:v>
                </c:pt>
                <c:pt idx="650">
                  <c:v>CUST175</c:v>
                </c:pt>
                <c:pt idx="651">
                  <c:v>CUST953</c:v>
                </c:pt>
                <c:pt idx="652">
                  <c:v>CUST776</c:v>
                </c:pt>
                <c:pt idx="653">
                  <c:v>CUST913</c:v>
                </c:pt>
                <c:pt idx="654">
                  <c:v>CUST861</c:v>
                </c:pt>
                <c:pt idx="655">
                  <c:v>CUST704</c:v>
                </c:pt>
                <c:pt idx="656">
                  <c:v>CUST691</c:v>
                </c:pt>
                <c:pt idx="657">
                  <c:v>CUST746</c:v>
                </c:pt>
                <c:pt idx="658">
                  <c:v>CUST829</c:v>
                </c:pt>
                <c:pt idx="659">
                  <c:v>CUST915</c:v>
                </c:pt>
                <c:pt idx="660">
                  <c:v>CUST997</c:v>
                </c:pt>
                <c:pt idx="661">
                  <c:v>CUST982</c:v>
                </c:pt>
                <c:pt idx="662">
                  <c:v>CUST898</c:v>
                </c:pt>
                <c:pt idx="663">
                  <c:v>CUST918</c:v>
                </c:pt>
                <c:pt idx="664">
                  <c:v>CUST679</c:v>
                </c:pt>
                <c:pt idx="665">
                  <c:v>CUST837</c:v>
                </c:pt>
                <c:pt idx="666">
                  <c:v>CUST422</c:v>
                </c:pt>
                <c:pt idx="667">
                  <c:v>CUST646</c:v>
                </c:pt>
                <c:pt idx="668">
                  <c:v>CUST535</c:v>
                </c:pt>
                <c:pt idx="669">
                  <c:v>CUST444</c:v>
                </c:pt>
                <c:pt idx="670">
                  <c:v>CUST419</c:v>
                </c:pt>
                <c:pt idx="671">
                  <c:v>CUST351</c:v>
                </c:pt>
                <c:pt idx="672">
                  <c:v>CUST631</c:v>
                </c:pt>
                <c:pt idx="673">
                  <c:v>CUST383</c:v>
                </c:pt>
                <c:pt idx="674">
                  <c:v>CUST643</c:v>
                </c:pt>
                <c:pt idx="675">
                  <c:v>CUST603</c:v>
                </c:pt>
                <c:pt idx="676">
                  <c:v>CUST656</c:v>
                </c:pt>
                <c:pt idx="677">
                  <c:v>CUST613</c:v>
                </c:pt>
                <c:pt idx="678">
                  <c:v>CUST557</c:v>
                </c:pt>
                <c:pt idx="679">
                  <c:v>CUST331</c:v>
                </c:pt>
                <c:pt idx="680">
                  <c:v>CUST303</c:v>
                </c:pt>
                <c:pt idx="681">
                  <c:v>CUST293</c:v>
                </c:pt>
                <c:pt idx="682">
                  <c:v>CUST229</c:v>
                </c:pt>
                <c:pt idx="683">
                  <c:v>CUST218</c:v>
                </c:pt>
                <c:pt idx="684">
                  <c:v>CUST084</c:v>
                </c:pt>
                <c:pt idx="685">
                  <c:v>CUST073</c:v>
                </c:pt>
                <c:pt idx="686">
                  <c:v>CUST086</c:v>
                </c:pt>
                <c:pt idx="687">
                  <c:v>CUST294</c:v>
                </c:pt>
                <c:pt idx="688">
                  <c:v>CUST245</c:v>
                </c:pt>
                <c:pt idx="689">
                  <c:v>CUST317</c:v>
                </c:pt>
                <c:pt idx="690">
                  <c:v>CUST126</c:v>
                </c:pt>
                <c:pt idx="691">
                  <c:v>CUST219</c:v>
                </c:pt>
                <c:pt idx="692">
                  <c:v>CUST267</c:v>
                </c:pt>
                <c:pt idx="693">
                  <c:v>CUST190</c:v>
                </c:pt>
                <c:pt idx="694">
                  <c:v>CUST032</c:v>
                </c:pt>
                <c:pt idx="695">
                  <c:v>CUST920</c:v>
                </c:pt>
                <c:pt idx="696">
                  <c:v>CUST948</c:v>
                </c:pt>
                <c:pt idx="697">
                  <c:v>CUST718</c:v>
                </c:pt>
                <c:pt idx="698">
                  <c:v>CUST872</c:v>
                </c:pt>
                <c:pt idx="699">
                  <c:v>CUST988</c:v>
                </c:pt>
                <c:pt idx="700">
                  <c:v>CUST797</c:v>
                </c:pt>
                <c:pt idx="701">
                  <c:v>CUST755</c:v>
                </c:pt>
                <c:pt idx="702">
                  <c:v>CUST815</c:v>
                </c:pt>
                <c:pt idx="703">
                  <c:v>CUST980</c:v>
                </c:pt>
                <c:pt idx="704">
                  <c:v>CUST767</c:v>
                </c:pt>
                <c:pt idx="705">
                  <c:v>CUST848</c:v>
                </c:pt>
                <c:pt idx="706">
                  <c:v>CUST750</c:v>
                </c:pt>
                <c:pt idx="707">
                  <c:v>CUST929</c:v>
                </c:pt>
                <c:pt idx="708">
                  <c:v>CUST812</c:v>
                </c:pt>
                <c:pt idx="709">
                  <c:v>CUST921</c:v>
                </c:pt>
                <c:pt idx="710">
                  <c:v>CUST713</c:v>
                </c:pt>
                <c:pt idx="711">
                  <c:v>CUST977</c:v>
                </c:pt>
                <c:pt idx="712">
                  <c:v>CUST768</c:v>
                </c:pt>
                <c:pt idx="713">
                  <c:v>CUST469</c:v>
                </c:pt>
                <c:pt idx="714">
                  <c:v>CUST654</c:v>
                </c:pt>
                <c:pt idx="715">
                  <c:v>CUST644</c:v>
                </c:pt>
                <c:pt idx="716">
                  <c:v>CUST374</c:v>
                </c:pt>
                <c:pt idx="717">
                  <c:v>CUST552</c:v>
                </c:pt>
                <c:pt idx="718">
                  <c:v>CUST607</c:v>
                </c:pt>
                <c:pt idx="719">
                  <c:v>CUST475</c:v>
                </c:pt>
                <c:pt idx="720">
                  <c:v>CUST413</c:v>
                </c:pt>
                <c:pt idx="721">
                  <c:v>CUST653</c:v>
                </c:pt>
                <c:pt idx="722">
                  <c:v>CUST439</c:v>
                </c:pt>
                <c:pt idx="723">
                  <c:v>CUST357</c:v>
                </c:pt>
                <c:pt idx="724">
                  <c:v>CUST620</c:v>
                </c:pt>
                <c:pt idx="725">
                  <c:v>CUST622</c:v>
                </c:pt>
                <c:pt idx="726">
                  <c:v>CUST350</c:v>
                </c:pt>
                <c:pt idx="727">
                  <c:v>CUST145</c:v>
                </c:pt>
                <c:pt idx="728">
                  <c:v>CUST188</c:v>
                </c:pt>
                <c:pt idx="729">
                  <c:v>CUST149</c:v>
                </c:pt>
                <c:pt idx="730">
                  <c:v>CUST050</c:v>
                </c:pt>
                <c:pt idx="731">
                  <c:v>CUST108</c:v>
                </c:pt>
                <c:pt idx="732">
                  <c:v>CUST241</c:v>
                </c:pt>
                <c:pt idx="733">
                  <c:v>CUST037</c:v>
                </c:pt>
                <c:pt idx="734">
                  <c:v>CUST051</c:v>
                </c:pt>
                <c:pt idx="735">
                  <c:v>CUST326</c:v>
                </c:pt>
                <c:pt idx="736">
                  <c:v>CUST012</c:v>
                </c:pt>
                <c:pt idx="737">
                  <c:v>CUST069</c:v>
                </c:pt>
                <c:pt idx="738">
                  <c:v>CUST719</c:v>
                </c:pt>
                <c:pt idx="739">
                  <c:v>CUST960</c:v>
                </c:pt>
                <c:pt idx="740">
                  <c:v>CUST681</c:v>
                </c:pt>
                <c:pt idx="741">
                  <c:v>CUST962</c:v>
                </c:pt>
                <c:pt idx="742">
                  <c:v>CUST871</c:v>
                </c:pt>
                <c:pt idx="743">
                  <c:v>CUST675</c:v>
                </c:pt>
                <c:pt idx="744">
                  <c:v>CUST992</c:v>
                </c:pt>
                <c:pt idx="745">
                  <c:v>CUST981</c:v>
                </c:pt>
                <c:pt idx="746">
                  <c:v>CUST959</c:v>
                </c:pt>
                <c:pt idx="747">
                  <c:v>CUST884</c:v>
                </c:pt>
                <c:pt idx="748">
                  <c:v>CUST701</c:v>
                </c:pt>
                <c:pt idx="749">
                  <c:v>CUST834</c:v>
                </c:pt>
                <c:pt idx="750">
                  <c:v>CUST900</c:v>
                </c:pt>
                <c:pt idx="751">
                  <c:v>CUST528</c:v>
                </c:pt>
                <c:pt idx="752">
                  <c:v>CUST456</c:v>
                </c:pt>
                <c:pt idx="753">
                  <c:v>CUST478</c:v>
                </c:pt>
                <c:pt idx="754">
                  <c:v>CUST581</c:v>
                </c:pt>
                <c:pt idx="755">
                  <c:v>CUST588</c:v>
                </c:pt>
                <c:pt idx="756">
                  <c:v>CUST593</c:v>
                </c:pt>
                <c:pt idx="757">
                  <c:v>CUST563</c:v>
                </c:pt>
                <c:pt idx="758">
                  <c:v>CUST499</c:v>
                </c:pt>
                <c:pt idx="759">
                  <c:v>CUST548</c:v>
                </c:pt>
                <c:pt idx="760">
                  <c:v>CUST370</c:v>
                </c:pt>
                <c:pt idx="761">
                  <c:v>CUST495</c:v>
                </c:pt>
                <c:pt idx="762">
                  <c:v>CUST399</c:v>
                </c:pt>
                <c:pt idx="763">
                  <c:v>CUST448</c:v>
                </c:pt>
                <c:pt idx="764">
                  <c:v>CUST501</c:v>
                </c:pt>
                <c:pt idx="765">
                  <c:v>CUST565</c:v>
                </c:pt>
                <c:pt idx="766">
                  <c:v>CUST573</c:v>
                </c:pt>
                <c:pt idx="767">
                  <c:v>CUST415</c:v>
                </c:pt>
                <c:pt idx="768">
                  <c:v>CUST080</c:v>
                </c:pt>
                <c:pt idx="769">
                  <c:v>CUST178</c:v>
                </c:pt>
                <c:pt idx="770">
                  <c:v>CUST315</c:v>
                </c:pt>
                <c:pt idx="771">
                  <c:v>CUST247</c:v>
                </c:pt>
                <c:pt idx="772">
                  <c:v>CUST266</c:v>
                </c:pt>
                <c:pt idx="773">
                  <c:v>CUST095</c:v>
                </c:pt>
                <c:pt idx="774">
                  <c:v>CUST263</c:v>
                </c:pt>
                <c:pt idx="775">
                  <c:v>CUST123</c:v>
                </c:pt>
                <c:pt idx="776">
                  <c:v>CUST148</c:v>
                </c:pt>
                <c:pt idx="777">
                  <c:v>CUST260</c:v>
                </c:pt>
                <c:pt idx="778">
                  <c:v>CUST214</c:v>
                </c:pt>
                <c:pt idx="779">
                  <c:v>CUST289</c:v>
                </c:pt>
                <c:pt idx="780">
                  <c:v>CUST228</c:v>
                </c:pt>
                <c:pt idx="781">
                  <c:v>CUST304</c:v>
                </c:pt>
                <c:pt idx="782">
                  <c:v>CUST162</c:v>
                </c:pt>
                <c:pt idx="783">
                  <c:v>CUST780</c:v>
                </c:pt>
                <c:pt idx="784">
                  <c:v>CUST866</c:v>
                </c:pt>
                <c:pt idx="785">
                  <c:v>CUST935</c:v>
                </c:pt>
                <c:pt idx="786">
                  <c:v>CUST941</c:v>
                </c:pt>
                <c:pt idx="787">
                  <c:v>CUST890</c:v>
                </c:pt>
                <c:pt idx="788">
                  <c:v>CUST811</c:v>
                </c:pt>
                <c:pt idx="789">
                  <c:v>CUST705</c:v>
                </c:pt>
                <c:pt idx="790">
                  <c:v>CUST944</c:v>
                </c:pt>
                <c:pt idx="791">
                  <c:v>CUST840</c:v>
                </c:pt>
                <c:pt idx="792">
                  <c:v>CUST762</c:v>
                </c:pt>
                <c:pt idx="793">
                  <c:v>CUST973</c:v>
                </c:pt>
                <c:pt idx="794">
                  <c:v>CUST771</c:v>
                </c:pt>
                <c:pt idx="795">
                  <c:v>CUST892</c:v>
                </c:pt>
                <c:pt idx="796">
                  <c:v>CUST949</c:v>
                </c:pt>
                <c:pt idx="797">
                  <c:v>CUST985</c:v>
                </c:pt>
                <c:pt idx="798">
                  <c:v>CUST906</c:v>
                </c:pt>
                <c:pt idx="799">
                  <c:v>CUST836</c:v>
                </c:pt>
                <c:pt idx="800">
                  <c:v>CUST849</c:v>
                </c:pt>
                <c:pt idx="801">
                  <c:v>CUST996</c:v>
                </c:pt>
                <c:pt idx="802">
                  <c:v>CUST792</c:v>
                </c:pt>
                <c:pt idx="803">
                  <c:v>CUST919</c:v>
                </c:pt>
                <c:pt idx="804">
                  <c:v>CUST763</c:v>
                </c:pt>
                <c:pt idx="805">
                  <c:v>CUST889</c:v>
                </c:pt>
                <c:pt idx="806">
                  <c:v>CUST958</c:v>
                </c:pt>
                <c:pt idx="807">
                  <c:v>CUST922</c:v>
                </c:pt>
                <c:pt idx="808">
                  <c:v>CUST774</c:v>
                </c:pt>
                <c:pt idx="809">
                  <c:v>CUST737</c:v>
                </c:pt>
                <c:pt idx="810">
                  <c:v>CUST882</c:v>
                </c:pt>
                <c:pt idx="811">
                  <c:v>CUST893</c:v>
                </c:pt>
                <c:pt idx="812">
                  <c:v>CUST751</c:v>
                </c:pt>
                <c:pt idx="813">
                  <c:v>CUST730</c:v>
                </c:pt>
                <c:pt idx="814">
                  <c:v>CUST863</c:v>
                </c:pt>
                <c:pt idx="815">
                  <c:v>CUST854</c:v>
                </c:pt>
                <c:pt idx="816">
                  <c:v>CUST963</c:v>
                </c:pt>
                <c:pt idx="817">
                  <c:v>CUST896</c:v>
                </c:pt>
                <c:pt idx="818">
                  <c:v>CUST712</c:v>
                </c:pt>
                <c:pt idx="819">
                  <c:v>CUST857</c:v>
                </c:pt>
                <c:pt idx="820">
                  <c:v>CUST916</c:v>
                </c:pt>
                <c:pt idx="821">
                  <c:v>CUST846</c:v>
                </c:pt>
                <c:pt idx="822">
                  <c:v>CUST694</c:v>
                </c:pt>
                <c:pt idx="823">
                  <c:v>CUST685</c:v>
                </c:pt>
                <c:pt idx="824">
                  <c:v>CUST798</c:v>
                </c:pt>
                <c:pt idx="825">
                  <c:v>CUST902</c:v>
                </c:pt>
                <c:pt idx="826">
                  <c:v>CUST851</c:v>
                </c:pt>
                <c:pt idx="827">
                  <c:v>CUST770</c:v>
                </c:pt>
                <c:pt idx="828">
                  <c:v>CUST493</c:v>
                </c:pt>
                <c:pt idx="829">
                  <c:v>CUST618</c:v>
                </c:pt>
                <c:pt idx="830">
                  <c:v>CUST560</c:v>
                </c:pt>
                <c:pt idx="831">
                  <c:v>CUST434</c:v>
                </c:pt>
                <c:pt idx="832">
                  <c:v>CUST505</c:v>
                </c:pt>
                <c:pt idx="833">
                  <c:v>CUST367</c:v>
                </c:pt>
                <c:pt idx="834">
                  <c:v>CUST339</c:v>
                </c:pt>
                <c:pt idx="835">
                  <c:v>CUST391</c:v>
                </c:pt>
                <c:pt idx="836">
                  <c:v>CUST574</c:v>
                </c:pt>
                <c:pt idx="837">
                  <c:v>CUST627</c:v>
                </c:pt>
                <c:pt idx="838">
                  <c:v>CUST349</c:v>
                </c:pt>
                <c:pt idx="839">
                  <c:v>CUST359</c:v>
                </c:pt>
                <c:pt idx="840">
                  <c:v>CUST556</c:v>
                </c:pt>
                <c:pt idx="841">
                  <c:v>CUST629</c:v>
                </c:pt>
                <c:pt idx="842">
                  <c:v>CUST586</c:v>
                </c:pt>
                <c:pt idx="843">
                  <c:v>CUST450</c:v>
                </c:pt>
                <c:pt idx="844">
                  <c:v>CUST545</c:v>
                </c:pt>
                <c:pt idx="845">
                  <c:v>CUST562</c:v>
                </c:pt>
                <c:pt idx="846">
                  <c:v>CUST429</c:v>
                </c:pt>
                <c:pt idx="847">
                  <c:v>CUST375</c:v>
                </c:pt>
                <c:pt idx="848">
                  <c:v>CUST389</c:v>
                </c:pt>
                <c:pt idx="849">
                  <c:v>CUST343</c:v>
                </c:pt>
                <c:pt idx="850">
                  <c:v>CUST525</c:v>
                </c:pt>
                <c:pt idx="851">
                  <c:v>CUST473</c:v>
                </c:pt>
                <c:pt idx="852">
                  <c:v>CUST446</c:v>
                </c:pt>
                <c:pt idx="853">
                  <c:v>CUST571</c:v>
                </c:pt>
                <c:pt idx="854">
                  <c:v>CUST665</c:v>
                </c:pt>
                <c:pt idx="855">
                  <c:v>CUST606</c:v>
                </c:pt>
                <c:pt idx="856">
                  <c:v>CUST527</c:v>
                </c:pt>
                <c:pt idx="857">
                  <c:v>CUST542</c:v>
                </c:pt>
                <c:pt idx="858">
                  <c:v>CUST460</c:v>
                </c:pt>
                <c:pt idx="859">
                  <c:v>CUST127</c:v>
                </c:pt>
                <c:pt idx="860">
                  <c:v>CUST081</c:v>
                </c:pt>
                <c:pt idx="861">
                  <c:v>CUST306</c:v>
                </c:pt>
                <c:pt idx="862">
                  <c:v>CUST273</c:v>
                </c:pt>
                <c:pt idx="863">
                  <c:v>CUST170</c:v>
                </c:pt>
                <c:pt idx="864">
                  <c:v>CUST258</c:v>
                </c:pt>
                <c:pt idx="865">
                  <c:v>CUST007</c:v>
                </c:pt>
                <c:pt idx="866">
                  <c:v>CUST025</c:v>
                </c:pt>
                <c:pt idx="867">
                  <c:v>CUST207</c:v>
                </c:pt>
                <c:pt idx="868">
                  <c:v>CUST027</c:v>
                </c:pt>
                <c:pt idx="869">
                  <c:v>CUST316</c:v>
                </c:pt>
                <c:pt idx="870">
                  <c:v>CUST063</c:v>
                </c:pt>
                <c:pt idx="871">
                  <c:v>CUST321</c:v>
                </c:pt>
                <c:pt idx="872">
                  <c:v>CUST019</c:v>
                </c:pt>
                <c:pt idx="873">
                  <c:v>CUST325</c:v>
                </c:pt>
                <c:pt idx="874">
                  <c:v>CUST189</c:v>
                </c:pt>
                <c:pt idx="875">
                  <c:v>CUST246</c:v>
                </c:pt>
                <c:pt idx="876">
                  <c:v>CUST018</c:v>
                </c:pt>
                <c:pt idx="877">
                  <c:v>CUST307</c:v>
                </c:pt>
                <c:pt idx="878">
                  <c:v>CUST135</c:v>
                </c:pt>
                <c:pt idx="879">
                  <c:v>CUST249</c:v>
                </c:pt>
                <c:pt idx="880">
                  <c:v>CUST226</c:v>
                </c:pt>
                <c:pt idx="881">
                  <c:v>CUST250</c:v>
                </c:pt>
                <c:pt idx="882">
                  <c:v>CUST286</c:v>
                </c:pt>
                <c:pt idx="883">
                  <c:v>CUST234</c:v>
                </c:pt>
                <c:pt idx="884">
                  <c:v>CUST261</c:v>
                </c:pt>
                <c:pt idx="885">
                  <c:v>CUST172</c:v>
                </c:pt>
                <c:pt idx="886">
                  <c:v>CUST040</c:v>
                </c:pt>
                <c:pt idx="887">
                  <c:v>CUST059</c:v>
                </c:pt>
                <c:pt idx="888">
                  <c:v>CUST141</c:v>
                </c:pt>
                <c:pt idx="889">
                  <c:v>CUST151</c:v>
                </c:pt>
                <c:pt idx="890">
                  <c:v>CUST143</c:v>
                </c:pt>
                <c:pt idx="891">
                  <c:v>CUST041</c:v>
                </c:pt>
                <c:pt idx="892">
                  <c:v>CUST102</c:v>
                </c:pt>
                <c:pt idx="893">
                  <c:v>CUST106</c:v>
                </c:pt>
                <c:pt idx="894">
                  <c:v>CUST113</c:v>
                </c:pt>
                <c:pt idx="895">
                  <c:v>CUST120</c:v>
                </c:pt>
                <c:pt idx="896">
                  <c:v>CUST134</c:v>
                </c:pt>
                <c:pt idx="897">
                  <c:v>CUST224</c:v>
                </c:pt>
                <c:pt idx="898">
                  <c:v>CUST753</c:v>
                </c:pt>
                <c:pt idx="899">
                  <c:v>CUST879</c:v>
                </c:pt>
                <c:pt idx="900">
                  <c:v>CUST670</c:v>
                </c:pt>
                <c:pt idx="901">
                  <c:v>CUST901</c:v>
                </c:pt>
                <c:pt idx="902">
                  <c:v>CUST793</c:v>
                </c:pt>
                <c:pt idx="903">
                  <c:v>CUST874</c:v>
                </c:pt>
                <c:pt idx="904">
                  <c:v>CUST734</c:v>
                </c:pt>
                <c:pt idx="905">
                  <c:v>CUST940</c:v>
                </c:pt>
                <c:pt idx="906">
                  <c:v>CUST926</c:v>
                </c:pt>
                <c:pt idx="907">
                  <c:v>CUST749</c:v>
                </c:pt>
                <c:pt idx="908">
                  <c:v>CUST733</c:v>
                </c:pt>
                <c:pt idx="909">
                  <c:v>CUST974</c:v>
                </c:pt>
                <c:pt idx="910">
                  <c:v>CUST894</c:v>
                </c:pt>
                <c:pt idx="911">
                  <c:v>CUST802</c:v>
                </c:pt>
                <c:pt idx="912">
                  <c:v>CUST995</c:v>
                </c:pt>
                <c:pt idx="913">
                  <c:v>CUST878</c:v>
                </c:pt>
                <c:pt idx="914">
                  <c:v>CUST933</c:v>
                </c:pt>
                <c:pt idx="915">
                  <c:v>CUST747</c:v>
                </c:pt>
                <c:pt idx="916">
                  <c:v>CUST804</c:v>
                </c:pt>
                <c:pt idx="917">
                  <c:v>CUST772</c:v>
                </c:pt>
                <c:pt idx="918">
                  <c:v>CUST518</c:v>
                </c:pt>
                <c:pt idx="919">
                  <c:v>CUST489</c:v>
                </c:pt>
                <c:pt idx="920">
                  <c:v>CUST438</c:v>
                </c:pt>
                <c:pt idx="921">
                  <c:v>CUST387</c:v>
                </c:pt>
                <c:pt idx="922">
                  <c:v>CUST483</c:v>
                </c:pt>
                <c:pt idx="923">
                  <c:v>CUST566</c:v>
                </c:pt>
                <c:pt idx="924">
                  <c:v>CUST396</c:v>
                </c:pt>
                <c:pt idx="925">
                  <c:v>CUST617</c:v>
                </c:pt>
                <c:pt idx="926">
                  <c:v>CUST345</c:v>
                </c:pt>
                <c:pt idx="927">
                  <c:v>CUST451</c:v>
                </c:pt>
                <c:pt idx="928">
                  <c:v>CUST659</c:v>
                </c:pt>
                <c:pt idx="929">
                  <c:v>CUST579</c:v>
                </c:pt>
                <c:pt idx="930">
                  <c:v>CUST485</c:v>
                </c:pt>
                <c:pt idx="931">
                  <c:v>CUST344</c:v>
                </c:pt>
                <c:pt idx="932">
                  <c:v>CUST376</c:v>
                </c:pt>
                <c:pt idx="933">
                  <c:v>CUST601</c:v>
                </c:pt>
                <c:pt idx="934">
                  <c:v>CUST650</c:v>
                </c:pt>
                <c:pt idx="935">
                  <c:v>CUST268</c:v>
                </c:pt>
                <c:pt idx="936">
                  <c:v>CUST255</c:v>
                </c:pt>
                <c:pt idx="937">
                  <c:v>CUST116</c:v>
                </c:pt>
                <c:pt idx="938">
                  <c:v>CUST305</c:v>
                </c:pt>
                <c:pt idx="939">
                  <c:v>CUST029</c:v>
                </c:pt>
                <c:pt idx="940">
                  <c:v>CUST066</c:v>
                </c:pt>
                <c:pt idx="941">
                  <c:v>CUST140</c:v>
                </c:pt>
                <c:pt idx="942">
                  <c:v>CUST006</c:v>
                </c:pt>
                <c:pt idx="943">
                  <c:v>CUST057</c:v>
                </c:pt>
                <c:pt idx="944">
                  <c:v>CUST090</c:v>
                </c:pt>
                <c:pt idx="945">
                  <c:v>CUST003</c:v>
                </c:pt>
                <c:pt idx="946">
                  <c:v>CUST100</c:v>
                </c:pt>
                <c:pt idx="947">
                  <c:v>CUST045</c:v>
                </c:pt>
                <c:pt idx="948">
                  <c:v>CUST195</c:v>
                </c:pt>
                <c:pt idx="949">
                  <c:v>CUST855</c:v>
                </c:pt>
                <c:pt idx="950">
                  <c:v>CUST907</c:v>
                </c:pt>
                <c:pt idx="951">
                  <c:v>CUST764</c:v>
                </c:pt>
                <c:pt idx="952">
                  <c:v>CUST952</c:v>
                </c:pt>
                <c:pt idx="953">
                  <c:v>CUST791</c:v>
                </c:pt>
                <c:pt idx="954">
                  <c:v>CUST744</c:v>
                </c:pt>
                <c:pt idx="955">
                  <c:v>CUST790</c:v>
                </c:pt>
                <c:pt idx="956">
                  <c:v>CUST739</c:v>
                </c:pt>
                <c:pt idx="957">
                  <c:v>CUST979</c:v>
                </c:pt>
                <c:pt idx="958">
                  <c:v>CUST955</c:v>
                </c:pt>
                <c:pt idx="959">
                  <c:v>CUST825</c:v>
                </c:pt>
                <c:pt idx="960">
                  <c:v>CUST989</c:v>
                </c:pt>
                <c:pt idx="961">
                  <c:v>CUST877</c:v>
                </c:pt>
                <c:pt idx="962">
                  <c:v>CUST945</c:v>
                </c:pt>
                <c:pt idx="963">
                  <c:v>CUST967</c:v>
                </c:pt>
                <c:pt idx="964">
                  <c:v>CUST787</c:v>
                </c:pt>
                <c:pt idx="965">
                  <c:v>CUST468</c:v>
                </c:pt>
                <c:pt idx="966">
                  <c:v>CUST379</c:v>
                </c:pt>
                <c:pt idx="967">
                  <c:v>CUST544</c:v>
                </c:pt>
                <c:pt idx="968">
                  <c:v>CUST454</c:v>
                </c:pt>
                <c:pt idx="969">
                  <c:v>CUST362</c:v>
                </c:pt>
                <c:pt idx="970">
                  <c:v>CUST347</c:v>
                </c:pt>
                <c:pt idx="971">
                  <c:v>CUST427</c:v>
                </c:pt>
                <c:pt idx="972">
                  <c:v>CUST371</c:v>
                </c:pt>
                <c:pt idx="973">
                  <c:v>CUST486</c:v>
                </c:pt>
                <c:pt idx="974">
                  <c:v>CUST558</c:v>
                </c:pt>
                <c:pt idx="975">
                  <c:v>CUST585</c:v>
                </c:pt>
                <c:pt idx="976">
                  <c:v>CUST397</c:v>
                </c:pt>
                <c:pt idx="977">
                  <c:v>CUST512</c:v>
                </c:pt>
                <c:pt idx="978">
                  <c:v>CUST363</c:v>
                </c:pt>
                <c:pt idx="979">
                  <c:v>CUST388</c:v>
                </c:pt>
                <c:pt idx="980">
                  <c:v>CUST657</c:v>
                </c:pt>
                <c:pt idx="981">
                  <c:v>CUST423</c:v>
                </c:pt>
                <c:pt idx="982">
                  <c:v>CUST658</c:v>
                </c:pt>
                <c:pt idx="983">
                  <c:v>CUST185</c:v>
                </c:pt>
                <c:pt idx="984">
                  <c:v>CUST230</c:v>
                </c:pt>
                <c:pt idx="985">
                  <c:v>CUST201</c:v>
                </c:pt>
                <c:pt idx="986">
                  <c:v>CUST318</c:v>
                </c:pt>
                <c:pt idx="987">
                  <c:v>CUST236</c:v>
                </c:pt>
                <c:pt idx="988">
                  <c:v>CUST206</c:v>
                </c:pt>
                <c:pt idx="989">
                  <c:v>CUST103</c:v>
                </c:pt>
                <c:pt idx="990">
                  <c:v>CUST309</c:v>
                </c:pt>
                <c:pt idx="991">
                  <c:v>CUST044</c:v>
                </c:pt>
                <c:pt idx="992">
                  <c:v>CUST310</c:v>
                </c:pt>
                <c:pt idx="993">
                  <c:v>CUST204</c:v>
                </c:pt>
                <c:pt idx="994">
                  <c:v>CUST232</c:v>
                </c:pt>
                <c:pt idx="995">
                  <c:v>CUST205</c:v>
                </c:pt>
                <c:pt idx="996">
                  <c:v>CUST242</c:v>
                </c:pt>
                <c:pt idx="997">
                  <c:v>CUST223</c:v>
                </c:pt>
                <c:pt idx="998">
                  <c:v>CUST191</c:v>
                </c:pt>
                <c:pt idx="999">
                  <c:v>CUST285</c:v>
                </c:pt>
              </c:strCache>
            </c:strRef>
          </c:cat>
          <c:val>
            <c:numRef>
              <c:f>'L...retail_sales_dataset  PROJE'!$N$3:$N$1003</c:f>
              <c:numCache>
                <c:formatCode>General</c:formatCode>
                <c:ptCount val="1000"/>
                <c:pt idx="0">
                  <c:v>2000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2000</c:v>
                </c:pt>
                <c:pt idx="5">
                  <c:v>2000</c:v>
                </c:pt>
                <c:pt idx="6">
                  <c:v>2000</c:v>
                </c:pt>
                <c:pt idx="7">
                  <c:v>2000</c:v>
                </c:pt>
                <c:pt idx="8">
                  <c:v>2000</c:v>
                </c:pt>
                <c:pt idx="9">
                  <c:v>2000</c:v>
                </c:pt>
                <c:pt idx="10">
                  <c:v>2000</c:v>
                </c:pt>
                <c:pt idx="11">
                  <c:v>2000</c:v>
                </c:pt>
                <c:pt idx="12">
                  <c:v>2000</c:v>
                </c:pt>
                <c:pt idx="13">
                  <c:v>2000</c:v>
                </c:pt>
                <c:pt idx="14">
                  <c:v>2000</c:v>
                </c:pt>
                <c:pt idx="15">
                  <c:v>2000</c:v>
                </c:pt>
                <c:pt idx="16">
                  <c:v>2000</c:v>
                </c:pt>
                <c:pt idx="17">
                  <c:v>2000</c:v>
                </c:pt>
                <c:pt idx="18">
                  <c:v>2000</c:v>
                </c:pt>
                <c:pt idx="19">
                  <c:v>2000</c:v>
                </c:pt>
                <c:pt idx="20">
                  <c:v>2000</c:v>
                </c:pt>
                <c:pt idx="21">
                  <c:v>2000</c:v>
                </c:pt>
                <c:pt idx="22">
                  <c:v>2000</c:v>
                </c:pt>
                <c:pt idx="23">
                  <c:v>2000</c:v>
                </c:pt>
                <c:pt idx="24">
                  <c:v>2000</c:v>
                </c:pt>
                <c:pt idx="25">
                  <c:v>2000</c:v>
                </c:pt>
                <c:pt idx="26">
                  <c:v>2000</c:v>
                </c:pt>
                <c:pt idx="27">
                  <c:v>2000</c:v>
                </c:pt>
                <c:pt idx="28">
                  <c:v>2000</c:v>
                </c:pt>
                <c:pt idx="29">
                  <c:v>2000</c:v>
                </c:pt>
                <c:pt idx="30">
                  <c:v>2000</c:v>
                </c:pt>
                <c:pt idx="31">
                  <c:v>2000</c:v>
                </c:pt>
                <c:pt idx="32">
                  <c:v>2000</c:v>
                </c:pt>
                <c:pt idx="33">
                  <c:v>2000</c:v>
                </c:pt>
                <c:pt idx="34">
                  <c:v>2000</c:v>
                </c:pt>
                <c:pt idx="35">
                  <c:v>2000</c:v>
                </c:pt>
                <c:pt idx="36">
                  <c:v>2000</c:v>
                </c:pt>
                <c:pt idx="37">
                  <c:v>2000</c:v>
                </c:pt>
                <c:pt idx="38">
                  <c:v>2000</c:v>
                </c:pt>
                <c:pt idx="39">
                  <c:v>2000</c:v>
                </c:pt>
                <c:pt idx="40">
                  <c:v>2000</c:v>
                </c:pt>
                <c:pt idx="41">
                  <c:v>2000</c:v>
                </c:pt>
                <c:pt idx="42">
                  <c:v>2000</c:v>
                </c:pt>
                <c:pt idx="43">
                  <c:v>2000</c:v>
                </c:pt>
                <c:pt idx="44">
                  <c:v>2000</c:v>
                </c:pt>
                <c:pt idx="45">
                  <c:v>2000</c:v>
                </c:pt>
                <c:pt idx="46">
                  <c:v>2000</c:v>
                </c:pt>
                <c:pt idx="47">
                  <c:v>2000</c:v>
                </c:pt>
                <c:pt idx="48">
                  <c:v>2000</c:v>
                </c:pt>
                <c:pt idx="49">
                  <c:v>1500</c:v>
                </c:pt>
                <c:pt idx="50">
                  <c:v>1500</c:v>
                </c:pt>
                <c:pt idx="51">
                  <c:v>1500</c:v>
                </c:pt>
                <c:pt idx="52">
                  <c:v>1500</c:v>
                </c:pt>
                <c:pt idx="53">
                  <c:v>1500</c:v>
                </c:pt>
                <c:pt idx="54">
                  <c:v>1500</c:v>
                </c:pt>
                <c:pt idx="55">
                  <c:v>1500</c:v>
                </c:pt>
                <c:pt idx="56">
                  <c:v>1500</c:v>
                </c:pt>
                <c:pt idx="57">
                  <c:v>1500</c:v>
                </c:pt>
                <c:pt idx="58">
                  <c:v>1500</c:v>
                </c:pt>
                <c:pt idx="59">
                  <c:v>1500</c:v>
                </c:pt>
                <c:pt idx="60">
                  <c:v>1500</c:v>
                </c:pt>
                <c:pt idx="61">
                  <c:v>1500</c:v>
                </c:pt>
                <c:pt idx="62">
                  <c:v>1500</c:v>
                </c:pt>
                <c:pt idx="63">
                  <c:v>1500</c:v>
                </c:pt>
                <c:pt idx="64">
                  <c:v>1500</c:v>
                </c:pt>
                <c:pt idx="65">
                  <c:v>1500</c:v>
                </c:pt>
                <c:pt idx="66">
                  <c:v>1500</c:v>
                </c:pt>
                <c:pt idx="67">
                  <c:v>1500</c:v>
                </c:pt>
                <c:pt idx="68">
                  <c:v>1500</c:v>
                </c:pt>
                <c:pt idx="69">
                  <c:v>1500</c:v>
                </c:pt>
                <c:pt idx="70">
                  <c:v>1500</c:v>
                </c:pt>
                <c:pt idx="71">
                  <c:v>1500</c:v>
                </c:pt>
                <c:pt idx="72">
                  <c:v>1500</c:v>
                </c:pt>
                <c:pt idx="73">
                  <c:v>1500</c:v>
                </c:pt>
                <c:pt idx="74">
                  <c:v>1500</c:v>
                </c:pt>
                <c:pt idx="75">
                  <c:v>1500</c:v>
                </c:pt>
                <c:pt idx="76">
                  <c:v>1500</c:v>
                </c:pt>
                <c:pt idx="77">
                  <c:v>1500</c:v>
                </c:pt>
                <c:pt idx="78">
                  <c:v>1500</c:v>
                </c:pt>
                <c:pt idx="79">
                  <c:v>1500</c:v>
                </c:pt>
                <c:pt idx="80">
                  <c:v>1500</c:v>
                </c:pt>
                <c:pt idx="81">
                  <c:v>1500</c:v>
                </c:pt>
                <c:pt idx="82">
                  <c:v>1500</c:v>
                </c:pt>
                <c:pt idx="83">
                  <c:v>1500</c:v>
                </c:pt>
                <c:pt idx="84">
                  <c:v>1500</c:v>
                </c:pt>
                <c:pt idx="85">
                  <c:v>1500</c:v>
                </c:pt>
                <c:pt idx="86">
                  <c:v>1500</c:v>
                </c:pt>
                <c:pt idx="87">
                  <c:v>1500</c:v>
                </c:pt>
                <c:pt idx="88">
                  <c:v>1500</c:v>
                </c:pt>
                <c:pt idx="89">
                  <c:v>1500</c:v>
                </c:pt>
                <c:pt idx="90">
                  <c:v>1500</c:v>
                </c:pt>
                <c:pt idx="91">
                  <c:v>1500</c:v>
                </c:pt>
                <c:pt idx="92">
                  <c:v>1500</c:v>
                </c:pt>
                <c:pt idx="93">
                  <c:v>1500</c:v>
                </c:pt>
                <c:pt idx="94">
                  <c:v>1500</c:v>
                </c:pt>
                <c:pt idx="95">
                  <c:v>1500</c:v>
                </c:pt>
                <c:pt idx="96">
                  <c:v>1500</c:v>
                </c:pt>
                <c:pt idx="97">
                  <c:v>1500</c:v>
                </c:pt>
                <c:pt idx="98">
                  <c:v>1500</c:v>
                </c:pt>
                <c:pt idx="99">
                  <c:v>1200</c:v>
                </c:pt>
                <c:pt idx="100">
                  <c:v>1200</c:v>
                </c:pt>
                <c:pt idx="101">
                  <c:v>1200</c:v>
                </c:pt>
                <c:pt idx="102">
                  <c:v>1200</c:v>
                </c:pt>
                <c:pt idx="103">
                  <c:v>1200</c:v>
                </c:pt>
                <c:pt idx="104">
                  <c:v>1200</c:v>
                </c:pt>
                <c:pt idx="105">
                  <c:v>1200</c:v>
                </c:pt>
                <c:pt idx="106">
                  <c:v>1200</c:v>
                </c:pt>
                <c:pt idx="107">
                  <c:v>1200</c:v>
                </c:pt>
                <c:pt idx="108">
                  <c:v>1200</c:v>
                </c:pt>
                <c:pt idx="109">
                  <c:v>1200</c:v>
                </c:pt>
                <c:pt idx="110">
                  <c:v>1200</c:v>
                </c:pt>
                <c:pt idx="111">
                  <c:v>1200</c:v>
                </c:pt>
                <c:pt idx="112">
                  <c:v>1200</c:v>
                </c:pt>
                <c:pt idx="113">
                  <c:v>1200</c:v>
                </c:pt>
                <c:pt idx="114">
                  <c:v>1200</c:v>
                </c:pt>
                <c:pt idx="115">
                  <c:v>1200</c:v>
                </c:pt>
                <c:pt idx="116">
                  <c:v>1200</c:v>
                </c:pt>
                <c:pt idx="117">
                  <c:v>1200</c:v>
                </c:pt>
                <c:pt idx="118">
                  <c:v>1200</c:v>
                </c:pt>
                <c:pt idx="119">
                  <c:v>1200</c:v>
                </c:pt>
                <c:pt idx="120">
                  <c:v>1200</c:v>
                </c:pt>
                <c:pt idx="121">
                  <c:v>1200</c:v>
                </c:pt>
                <c:pt idx="122">
                  <c:v>1200</c:v>
                </c:pt>
                <c:pt idx="123">
                  <c:v>1200</c:v>
                </c:pt>
                <c:pt idx="124">
                  <c:v>1200</c:v>
                </c:pt>
                <c:pt idx="125">
                  <c:v>1200</c:v>
                </c:pt>
                <c:pt idx="126">
                  <c:v>1200</c:v>
                </c:pt>
                <c:pt idx="127">
                  <c:v>1200</c:v>
                </c:pt>
                <c:pt idx="128">
                  <c:v>1200</c:v>
                </c:pt>
                <c:pt idx="129">
                  <c:v>1200</c:v>
                </c:pt>
                <c:pt idx="130">
                  <c:v>1200</c:v>
                </c:pt>
                <c:pt idx="131">
                  <c:v>1200</c:v>
                </c:pt>
                <c:pt idx="132">
                  <c:v>1200</c:v>
                </c:pt>
                <c:pt idx="133">
                  <c:v>1200</c:v>
                </c:pt>
                <c:pt idx="134">
                  <c:v>1200</c:v>
                </c:pt>
                <c:pt idx="135">
                  <c:v>1200</c:v>
                </c:pt>
                <c:pt idx="136">
                  <c:v>1200</c:v>
                </c:pt>
                <c:pt idx="137">
                  <c:v>1200</c:v>
                </c:pt>
                <c:pt idx="138">
                  <c:v>1200</c:v>
                </c:pt>
                <c:pt idx="139">
                  <c:v>1200</c:v>
                </c:pt>
                <c:pt idx="140">
                  <c:v>1200</c:v>
                </c:pt>
                <c:pt idx="141">
                  <c:v>1200</c:v>
                </c:pt>
                <c:pt idx="142">
                  <c:v>1200</c:v>
                </c:pt>
                <c:pt idx="143">
                  <c:v>1200</c:v>
                </c:pt>
                <c:pt idx="144">
                  <c:v>1200</c:v>
                </c:pt>
                <c:pt idx="145">
                  <c:v>1200</c:v>
                </c:pt>
                <c:pt idx="146">
                  <c:v>1200</c:v>
                </c:pt>
                <c:pt idx="147">
                  <c:v>1200</c:v>
                </c:pt>
                <c:pt idx="148">
                  <c:v>1200</c:v>
                </c:pt>
                <c:pt idx="149">
                  <c:v>1200</c:v>
                </c:pt>
                <c:pt idx="150">
                  <c:v>1200</c:v>
                </c:pt>
                <c:pt idx="151">
                  <c:v>1200</c:v>
                </c:pt>
                <c:pt idx="152">
                  <c:v>1200</c:v>
                </c:pt>
                <c:pt idx="153">
                  <c:v>1000</c:v>
                </c:pt>
                <c:pt idx="154">
                  <c:v>1000</c:v>
                </c:pt>
                <c:pt idx="155">
                  <c:v>1000</c:v>
                </c:pt>
                <c:pt idx="156">
                  <c:v>1000</c:v>
                </c:pt>
                <c:pt idx="157">
                  <c:v>1000</c:v>
                </c:pt>
                <c:pt idx="158">
                  <c:v>1000</c:v>
                </c:pt>
                <c:pt idx="159">
                  <c:v>1000</c:v>
                </c:pt>
                <c:pt idx="160">
                  <c:v>1000</c:v>
                </c:pt>
                <c:pt idx="161">
                  <c:v>1000</c:v>
                </c:pt>
                <c:pt idx="162">
                  <c:v>1000</c:v>
                </c:pt>
                <c:pt idx="163">
                  <c:v>1000</c:v>
                </c:pt>
                <c:pt idx="164">
                  <c:v>1000</c:v>
                </c:pt>
                <c:pt idx="165">
                  <c:v>1000</c:v>
                </c:pt>
                <c:pt idx="166">
                  <c:v>1000</c:v>
                </c:pt>
                <c:pt idx="167">
                  <c:v>1000</c:v>
                </c:pt>
                <c:pt idx="168">
                  <c:v>1000</c:v>
                </c:pt>
                <c:pt idx="169">
                  <c:v>1000</c:v>
                </c:pt>
                <c:pt idx="170">
                  <c:v>1000</c:v>
                </c:pt>
                <c:pt idx="171">
                  <c:v>1000</c:v>
                </c:pt>
                <c:pt idx="172">
                  <c:v>1000</c:v>
                </c:pt>
                <c:pt idx="173">
                  <c:v>1000</c:v>
                </c:pt>
                <c:pt idx="174">
                  <c:v>1000</c:v>
                </c:pt>
                <c:pt idx="175">
                  <c:v>1000</c:v>
                </c:pt>
                <c:pt idx="176">
                  <c:v>1000</c:v>
                </c:pt>
                <c:pt idx="177">
                  <c:v>1000</c:v>
                </c:pt>
                <c:pt idx="178">
                  <c:v>1000</c:v>
                </c:pt>
                <c:pt idx="179">
                  <c:v>1000</c:v>
                </c:pt>
                <c:pt idx="180">
                  <c:v>1000</c:v>
                </c:pt>
                <c:pt idx="181">
                  <c:v>1000</c:v>
                </c:pt>
                <c:pt idx="182">
                  <c:v>1000</c:v>
                </c:pt>
                <c:pt idx="183">
                  <c:v>1000</c:v>
                </c:pt>
                <c:pt idx="184">
                  <c:v>1000</c:v>
                </c:pt>
                <c:pt idx="185">
                  <c:v>1000</c:v>
                </c:pt>
                <c:pt idx="186">
                  <c:v>1000</c:v>
                </c:pt>
                <c:pt idx="187">
                  <c:v>1000</c:v>
                </c:pt>
                <c:pt idx="188">
                  <c:v>1000</c:v>
                </c:pt>
                <c:pt idx="189">
                  <c:v>1000</c:v>
                </c:pt>
                <c:pt idx="190">
                  <c:v>1000</c:v>
                </c:pt>
                <c:pt idx="191">
                  <c:v>1000</c:v>
                </c:pt>
                <c:pt idx="192">
                  <c:v>1000</c:v>
                </c:pt>
                <c:pt idx="193">
                  <c:v>1000</c:v>
                </c:pt>
                <c:pt idx="194">
                  <c:v>1000</c:v>
                </c:pt>
                <c:pt idx="195">
                  <c:v>1000</c:v>
                </c:pt>
                <c:pt idx="196">
                  <c:v>1000</c:v>
                </c:pt>
                <c:pt idx="197">
                  <c:v>1000</c:v>
                </c:pt>
                <c:pt idx="198">
                  <c:v>1000</c:v>
                </c:pt>
                <c:pt idx="199">
                  <c:v>1000</c:v>
                </c:pt>
                <c:pt idx="200">
                  <c:v>1000</c:v>
                </c:pt>
                <c:pt idx="201">
                  <c:v>1000</c:v>
                </c:pt>
                <c:pt idx="202">
                  <c:v>900</c:v>
                </c:pt>
                <c:pt idx="203">
                  <c:v>900</c:v>
                </c:pt>
                <c:pt idx="204">
                  <c:v>900</c:v>
                </c:pt>
                <c:pt idx="205">
                  <c:v>900</c:v>
                </c:pt>
                <c:pt idx="206">
                  <c:v>900</c:v>
                </c:pt>
                <c:pt idx="207">
                  <c:v>900</c:v>
                </c:pt>
                <c:pt idx="208">
                  <c:v>900</c:v>
                </c:pt>
                <c:pt idx="209">
                  <c:v>900</c:v>
                </c:pt>
                <c:pt idx="210">
                  <c:v>900</c:v>
                </c:pt>
                <c:pt idx="211">
                  <c:v>900</c:v>
                </c:pt>
                <c:pt idx="212">
                  <c:v>900</c:v>
                </c:pt>
                <c:pt idx="213">
                  <c:v>900</c:v>
                </c:pt>
                <c:pt idx="214">
                  <c:v>900</c:v>
                </c:pt>
                <c:pt idx="215">
                  <c:v>900</c:v>
                </c:pt>
                <c:pt idx="216">
                  <c:v>900</c:v>
                </c:pt>
                <c:pt idx="217">
                  <c:v>900</c:v>
                </c:pt>
                <c:pt idx="218">
                  <c:v>900</c:v>
                </c:pt>
                <c:pt idx="219">
                  <c:v>900</c:v>
                </c:pt>
                <c:pt idx="220">
                  <c:v>900</c:v>
                </c:pt>
                <c:pt idx="221">
                  <c:v>900</c:v>
                </c:pt>
                <c:pt idx="222">
                  <c:v>900</c:v>
                </c:pt>
                <c:pt idx="223">
                  <c:v>900</c:v>
                </c:pt>
                <c:pt idx="224">
                  <c:v>900</c:v>
                </c:pt>
                <c:pt idx="225">
                  <c:v>900</c:v>
                </c:pt>
                <c:pt idx="226">
                  <c:v>900</c:v>
                </c:pt>
                <c:pt idx="227">
                  <c:v>900</c:v>
                </c:pt>
                <c:pt idx="228">
                  <c:v>900</c:v>
                </c:pt>
                <c:pt idx="229">
                  <c:v>900</c:v>
                </c:pt>
                <c:pt idx="230">
                  <c:v>900</c:v>
                </c:pt>
                <c:pt idx="231">
                  <c:v>900</c:v>
                </c:pt>
                <c:pt idx="232">
                  <c:v>900</c:v>
                </c:pt>
                <c:pt idx="233">
                  <c:v>900</c:v>
                </c:pt>
                <c:pt idx="234">
                  <c:v>900</c:v>
                </c:pt>
                <c:pt idx="235">
                  <c:v>900</c:v>
                </c:pt>
                <c:pt idx="236">
                  <c:v>900</c:v>
                </c:pt>
                <c:pt idx="237">
                  <c:v>900</c:v>
                </c:pt>
                <c:pt idx="238">
                  <c:v>900</c:v>
                </c:pt>
                <c:pt idx="239">
                  <c:v>900</c:v>
                </c:pt>
                <c:pt idx="240">
                  <c:v>900</c:v>
                </c:pt>
                <c:pt idx="241">
                  <c:v>900</c:v>
                </c:pt>
                <c:pt idx="242">
                  <c:v>900</c:v>
                </c:pt>
                <c:pt idx="243">
                  <c:v>900</c:v>
                </c:pt>
                <c:pt idx="244">
                  <c:v>900</c:v>
                </c:pt>
                <c:pt idx="245">
                  <c:v>900</c:v>
                </c:pt>
                <c:pt idx="246">
                  <c:v>900</c:v>
                </c:pt>
                <c:pt idx="247">
                  <c:v>900</c:v>
                </c:pt>
                <c:pt idx="248">
                  <c:v>900</c:v>
                </c:pt>
                <c:pt idx="249">
                  <c:v>900</c:v>
                </c:pt>
                <c:pt idx="250">
                  <c:v>900</c:v>
                </c:pt>
                <c:pt idx="251">
                  <c:v>900</c:v>
                </c:pt>
                <c:pt idx="252">
                  <c:v>900</c:v>
                </c:pt>
                <c:pt idx="253">
                  <c:v>900</c:v>
                </c:pt>
                <c:pt idx="254">
                  <c:v>900</c:v>
                </c:pt>
                <c:pt idx="255">
                  <c:v>900</c:v>
                </c:pt>
                <c:pt idx="256">
                  <c:v>900</c:v>
                </c:pt>
                <c:pt idx="257">
                  <c:v>900</c:v>
                </c:pt>
                <c:pt idx="258">
                  <c:v>900</c:v>
                </c:pt>
                <c:pt idx="259">
                  <c:v>900</c:v>
                </c:pt>
                <c:pt idx="260">
                  <c:v>900</c:v>
                </c:pt>
                <c:pt idx="261">
                  <c:v>900</c:v>
                </c:pt>
                <c:pt idx="262">
                  <c:v>900</c:v>
                </c:pt>
                <c:pt idx="263">
                  <c:v>900</c:v>
                </c:pt>
                <c:pt idx="264">
                  <c:v>600</c:v>
                </c:pt>
                <c:pt idx="265">
                  <c:v>600</c:v>
                </c:pt>
                <c:pt idx="266">
                  <c:v>600</c:v>
                </c:pt>
                <c:pt idx="267">
                  <c:v>600</c:v>
                </c:pt>
                <c:pt idx="268">
                  <c:v>600</c:v>
                </c:pt>
                <c:pt idx="269">
                  <c:v>600</c:v>
                </c:pt>
                <c:pt idx="270">
                  <c:v>600</c:v>
                </c:pt>
                <c:pt idx="271">
                  <c:v>600</c:v>
                </c:pt>
                <c:pt idx="272">
                  <c:v>600</c:v>
                </c:pt>
                <c:pt idx="273">
                  <c:v>600</c:v>
                </c:pt>
                <c:pt idx="274">
                  <c:v>600</c:v>
                </c:pt>
                <c:pt idx="275">
                  <c:v>600</c:v>
                </c:pt>
                <c:pt idx="276">
                  <c:v>600</c:v>
                </c:pt>
                <c:pt idx="277">
                  <c:v>600</c:v>
                </c:pt>
                <c:pt idx="278">
                  <c:v>600</c:v>
                </c:pt>
                <c:pt idx="279">
                  <c:v>600</c:v>
                </c:pt>
                <c:pt idx="280">
                  <c:v>600</c:v>
                </c:pt>
                <c:pt idx="281">
                  <c:v>600</c:v>
                </c:pt>
                <c:pt idx="282">
                  <c:v>600</c:v>
                </c:pt>
                <c:pt idx="283">
                  <c:v>600</c:v>
                </c:pt>
                <c:pt idx="284">
                  <c:v>600</c:v>
                </c:pt>
                <c:pt idx="285">
                  <c:v>600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600</c:v>
                </c:pt>
                <c:pt idx="293">
                  <c:v>600</c:v>
                </c:pt>
                <c:pt idx="294">
                  <c:v>600</c:v>
                </c:pt>
                <c:pt idx="295">
                  <c:v>600</c:v>
                </c:pt>
                <c:pt idx="296">
                  <c:v>600</c:v>
                </c:pt>
                <c:pt idx="297">
                  <c:v>600</c:v>
                </c:pt>
                <c:pt idx="298">
                  <c:v>600</c:v>
                </c:pt>
                <c:pt idx="299">
                  <c:v>500</c:v>
                </c:pt>
                <c:pt idx="300">
                  <c:v>500</c:v>
                </c:pt>
                <c:pt idx="301">
                  <c:v>500</c:v>
                </c:pt>
                <c:pt idx="302">
                  <c:v>500</c:v>
                </c:pt>
                <c:pt idx="303">
                  <c:v>500</c:v>
                </c:pt>
                <c:pt idx="304">
                  <c:v>500</c:v>
                </c:pt>
                <c:pt idx="305">
                  <c:v>500</c:v>
                </c:pt>
                <c:pt idx="306">
                  <c:v>500</c:v>
                </c:pt>
                <c:pt idx="307">
                  <c:v>500</c:v>
                </c:pt>
                <c:pt idx="308">
                  <c:v>500</c:v>
                </c:pt>
                <c:pt idx="309">
                  <c:v>500</c:v>
                </c:pt>
                <c:pt idx="310">
                  <c:v>500</c:v>
                </c:pt>
                <c:pt idx="311">
                  <c:v>500</c:v>
                </c:pt>
                <c:pt idx="312">
                  <c:v>500</c:v>
                </c:pt>
                <c:pt idx="313">
                  <c:v>500</c:v>
                </c:pt>
                <c:pt idx="314">
                  <c:v>500</c:v>
                </c:pt>
                <c:pt idx="315">
                  <c:v>500</c:v>
                </c:pt>
                <c:pt idx="316">
                  <c:v>500</c:v>
                </c:pt>
                <c:pt idx="317">
                  <c:v>500</c:v>
                </c:pt>
                <c:pt idx="318">
                  <c:v>500</c:v>
                </c:pt>
                <c:pt idx="319">
                  <c:v>500</c:v>
                </c:pt>
                <c:pt idx="320">
                  <c:v>500</c:v>
                </c:pt>
                <c:pt idx="321">
                  <c:v>500</c:v>
                </c:pt>
                <c:pt idx="322">
                  <c:v>500</c:v>
                </c:pt>
                <c:pt idx="323">
                  <c:v>500</c:v>
                </c:pt>
                <c:pt idx="324">
                  <c:v>500</c:v>
                </c:pt>
                <c:pt idx="325">
                  <c:v>500</c:v>
                </c:pt>
                <c:pt idx="326">
                  <c:v>500</c:v>
                </c:pt>
                <c:pt idx="327">
                  <c:v>500</c:v>
                </c:pt>
                <c:pt idx="328">
                  <c:v>500</c:v>
                </c:pt>
                <c:pt idx="329">
                  <c:v>500</c:v>
                </c:pt>
                <c:pt idx="330">
                  <c:v>500</c:v>
                </c:pt>
                <c:pt idx="331">
                  <c:v>500</c:v>
                </c:pt>
                <c:pt idx="332">
                  <c:v>500</c:v>
                </c:pt>
                <c:pt idx="333">
                  <c:v>500</c:v>
                </c:pt>
                <c:pt idx="334">
                  <c:v>500</c:v>
                </c:pt>
                <c:pt idx="335">
                  <c:v>500</c:v>
                </c:pt>
                <c:pt idx="336">
                  <c:v>500</c:v>
                </c:pt>
                <c:pt idx="337">
                  <c:v>500</c:v>
                </c:pt>
                <c:pt idx="338">
                  <c:v>500</c:v>
                </c:pt>
                <c:pt idx="339">
                  <c:v>500</c:v>
                </c:pt>
                <c:pt idx="340">
                  <c:v>500</c:v>
                </c:pt>
                <c:pt idx="341">
                  <c:v>500</c:v>
                </c:pt>
                <c:pt idx="342">
                  <c:v>500</c:v>
                </c:pt>
                <c:pt idx="343">
                  <c:v>500</c:v>
                </c:pt>
                <c:pt idx="344">
                  <c:v>500</c:v>
                </c:pt>
                <c:pt idx="345">
                  <c:v>500</c:v>
                </c:pt>
                <c:pt idx="346">
                  <c:v>500</c:v>
                </c:pt>
                <c:pt idx="347">
                  <c:v>500</c:v>
                </c:pt>
                <c:pt idx="348">
                  <c:v>500</c:v>
                </c:pt>
                <c:pt idx="349">
                  <c:v>500</c:v>
                </c:pt>
                <c:pt idx="350">
                  <c:v>300</c:v>
                </c:pt>
                <c:pt idx="351">
                  <c:v>300</c:v>
                </c:pt>
                <c:pt idx="352">
                  <c:v>300</c:v>
                </c:pt>
                <c:pt idx="353">
                  <c:v>300</c:v>
                </c:pt>
                <c:pt idx="354">
                  <c:v>300</c:v>
                </c:pt>
                <c:pt idx="355">
                  <c:v>300</c:v>
                </c:pt>
                <c:pt idx="356">
                  <c:v>300</c:v>
                </c:pt>
                <c:pt idx="357">
                  <c:v>300</c:v>
                </c:pt>
                <c:pt idx="358">
                  <c:v>300</c:v>
                </c:pt>
                <c:pt idx="359">
                  <c:v>300</c:v>
                </c:pt>
                <c:pt idx="360">
                  <c:v>300</c:v>
                </c:pt>
                <c:pt idx="361">
                  <c:v>300</c:v>
                </c:pt>
                <c:pt idx="362">
                  <c:v>300</c:v>
                </c:pt>
                <c:pt idx="363">
                  <c:v>300</c:v>
                </c:pt>
                <c:pt idx="364">
                  <c:v>300</c:v>
                </c:pt>
                <c:pt idx="365">
                  <c:v>300</c:v>
                </c:pt>
                <c:pt idx="366">
                  <c:v>300</c:v>
                </c:pt>
                <c:pt idx="367">
                  <c:v>300</c:v>
                </c:pt>
                <c:pt idx="368">
                  <c:v>300</c:v>
                </c:pt>
                <c:pt idx="369">
                  <c:v>300</c:v>
                </c:pt>
                <c:pt idx="370">
                  <c:v>300</c:v>
                </c:pt>
                <c:pt idx="371">
                  <c:v>300</c:v>
                </c:pt>
                <c:pt idx="372">
                  <c:v>300</c:v>
                </c:pt>
                <c:pt idx="373">
                  <c:v>300</c:v>
                </c:pt>
                <c:pt idx="374">
                  <c:v>300</c:v>
                </c:pt>
                <c:pt idx="375">
                  <c:v>300</c:v>
                </c:pt>
                <c:pt idx="376">
                  <c:v>300</c:v>
                </c:pt>
                <c:pt idx="377">
                  <c:v>300</c:v>
                </c:pt>
                <c:pt idx="378">
                  <c:v>300</c:v>
                </c:pt>
                <c:pt idx="379">
                  <c:v>300</c:v>
                </c:pt>
                <c:pt idx="380">
                  <c:v>300</c:v>
                </c:pt>
                <c:pt idx="381">
                  <c:v>300</c:v>
                </c:pt>
                <c:pt idx="382">
                  <c:v>300</c:v>
                </c:pt>
                <c:pt idx="383">
                  <c:v>300</c:v>
                </c:pt>
                <c:pt idx="384">
                  <c:v>300</c:v>
                </c:pt>
                <c:pt idx="385">
                  <c:v>300</c:v>
                </c:pt>
                <c:pt idx="386">
                  <c:v>300</c:v>
                </c:pt>
                <c:pt idx="387">
                  <c:v>300</c:v>
                </c:pt>
                <c:pt idx="388">
                  <c:v>300</c:v>
                </c:pt>
                <c:pt idx="389">
                  <c:v>300</c:v>
                </c:pt>
                <c:pt idx="390">
                  <c:v>300</c:v>
                </c:pt>
                <c:pt idx="391">
                  <c:v>300</c:v>
                </c:pt>
                <c:pt idx="392">
                  <c:v>300</c:v>
                </c:pt>
                <c:pt idx="393">
                  <c:v>300</c:v>
                </c:pt>
                <c:pt idx="394">
                  <c:v>300</c:v>
                </c:pt>
                <c:pt idx="395">
                  <c:v>300</c:v>
                </c:pt>
                <c:pt idx="396">
                  <c:v>200</c:v>
                </c:pt>
                <c:pt idx="397">
                  <c:v>200</c:v>
                </c:pt>
                <c:pt idx="398">
                  <c:v>200</c:v>
                </c:pt>
                <c:pt idx="399">
                  <c:v>200</c:v>
                </c:pt>
                <c:pt idx="400">
                  <c:v>200</c:v>
                </c:pt>
                <c:pt idx="401">
                  <c:v>200</c:v>
                </c:pt>
                <c:pt idx="402">
                  <c:v>200</c:v>
                </c:pt>
                <c:pt idx="403">
                  <c:v>200</c:v>
                </c:pt>
                <c:pt idx="404">
                  <c:v>200</c:v>
                </c:pt>
                <c:pt idx="405">
                  <c:v>200</c:v>
                </c:pt>
                <c:pt idx="406">
                  <c:v>200</c:v>
                </c:pt>
                <c:pt idx="407">
                  <c:v>200</c:v>
                </c:pt>
                <c:pt idx="408">
                  <c:v>200</c:v>
                </c:pt>
                <c:pt idx="409">
                  <c:v>200</c:v>
                </c:pt>
                <c:pt idx="410">
                  <c:v>200</c:v>
                </c:pt>
                <c:pt idx="411">
                  <c:v>200</c:v>
                </c:pt>
                <c:pt idx="412">
                  <c:v>200</c:v>
                </c:pt>
                <c:pt idx="413">
                  <c:v>200</c:v>
                </c:pt>
                <c:pt idx="414">
                  <c:v>200</c:v>
                </c:pt>
                <c:pt idx="415">
                  <c:v>200</c:v>
                </c:pt>
                <c:pt idx="416">
                  <c:v>200</c:v>
                </c:pt>
                <c:pt idx="417">
                  <c:v>200</c:v>
                </c:pt>
                <c:pt idx="418">
                  <c:v>200</c:v>
                </c:pt>
                <c:pt idx="419">
                  <c:v>200</c:v>
                </c:pt>
                <c:pt idx="420">
                  <c:v>200</c:v>
                </c:pt>
                <c:pt idx="421">
                  <c:v>200</c:v>
                </c:pt>
                <c:pt idx="422">
                  <c:v>200</c:v>
                </c:pt>
                <c:pt idx="423">
                  <c:v>200</c:v>
                </c:pt>
                <c:pt idx="424">
                  <c:v>200</c:v>
                </c:pt>
                <c:pt idx="425">
                  <c:v>200</c:v>
                </c:pt>
                <c:pt idx="426">
                  <c:v>200</c:v>
                </c:pt>
                <c:pt idx="427">
                  <c:v>200</c:v>
                </c:pt>
                <c:pt idx="428">
                  <c:v>200</c:v>
                </c:pt>
                <c:pt idx="429">
                  <c:v>200</c:v>
                </c:pt>
                <c:pt idx="430">
                  <c:v>200</c:v>
                </c:pt>
                <c:pt idx="431">
                  <c:v>200</c:v>
                </c:pt>
                <c:pt idx="432">
                  <c:v>200</c:v>
                </c:pt>
                <c:pt idx="433">
                  <c:v>200</c:v>
                </c:pt>
                <c:pt idx="434">
                  <c:v>200</c:v>
                </c:pt>
                <c:pt idx="435">
                  <c:v>200</c:v>
                </c:pt>
                <c:pt idx="436">
                  <c:v>200</c:v>
                </c:pt>
                <c:pt idx="437">
                  <c:v>200</c:v>
                </c:pt>
                <c:pt idx="438">
                  <c:v>200</c:v>
                </c:pt>
                <c:pt idx="439">
                  <c:v>200</c:v>
                </c:pt>
                <c:pt idx="440">
                  <c:v>200</c:v>
                </c:pt>
                <c:pt idx="441">
                  <c:v>200</c:v>
                </c:pt>
                <c:pt idx="442">
                  <c:v>200</c:v>
                </c:pt>
                <c:pt idx="443">
                  <c:v>200</c:v>
                </c:pt>
                <c:pt idx="444">
                  <c:v>200</c:v>
                </c:pt>
                <c:pt idx="445">
                  <c:v>200</c:v>
                </c:pt>
                <c:pt idx="446">
                  <c:v>200</c:v>
                </c:pt>
                <c:pt idx="447">
                  <c:v>200</c:v>
                </c:pt>
                <c:pt idx="448">
                  <c:v>200</c:v>
                </c:pt>
                <c:pt idx="449">
                  <c:v>200</c:v>
                </c:pt>
                <c:pt idx="450">
                  <c:v>200</c:v>
                </c:pt>
                <c:pt idx="451">
                  <c:v>200</c:v>
                </c:pt>
                <c:pt idx="452">
                  <c:v>200</c:v>
                </c:pt>
                <c:pt idx="453">
                  <c:v>200</c:v>
                </c:pt>
                <c:pt idx="454">
                  <c:v>200</c:v>
                </c:pt>
                <c:pt idx="455">
                  <c:v>200</c:v>
                </c:pt>
                <c:pt idx="456">
                  <c:v>200</c:v>
                </c:pt>
                <c:pt idx="457">
                  <c:v>200</c:v>
                </c:pt>
                <c:pt idx="458">
                  <c:v>150</c:v>
                </c:pt>
                <c:pt idx="459">
                  <c:v>150</c:v>
                </c:pt>
                <c:pt idx="460">
                  <c:v>150</c:v>
                </c:pt>
                <c:pt idx="461">
                  <c:v>150</c:v>
                </c:pt>
                <c:pt idx="462">
                  <c:v>150</c:v>
                </c:pt>
                <c:pt idx="463">
                  <c:v>150</c:v>
                </c:pt>
                <c:pt idx="464">
                  <c:v>150</c:v>
                </c:pt>
                <c:pt idx="465">
                  <c:v>150</c:v>
                </c:pt>
                <c:pt idx="466">
                  <c:v>150</c:v>
                </c:pt>
                <c:pt idx="467">
                  <c:v>150</c:v>
                </c:pt>
                <c:pt idx="468">
                  <c:v>150</c:v>
                </c:pt>
                <c:pt idx="469">
                  <c:v>150</c:v>
                </c:pt>
                <c:pt idx="470">
                  <c:v>150</c:v>
                </c:pt>
                <c:pt idx="471">
                  <c:v>150</c:v>
                </c:pt>
                <c:pt idx="472">
                  <c:v>150</c:v>
                </c:pt>
                <c:pt idx="473">
                  <c:v>150</c:v>
                </c:pt>
                <c:pt idx="474">
                  <c:v>150</c:v>
                </c:pt>
                <c:pt idx="475">
                  <c:v>150</c:v>
                </c:pt>
                <c:pt idx="476">
                  <c:v>150</c:v>
                </c:pt>
                <c:pt idx="477">
                  <c:v>150</c:v>
                </c:pt>
                <c:pt idx="478">
                  <c:v>150</c:v>
                </c:pt>
                <c:pt idx="479">
                  <c:v>150</c:v>
                </c:pt>
                <c:pt idx="480">
                  <c:v>150</c:v>
                </c:pt>
                <c:pt idx="481">
                  <c:v>150</c:v>
                </c:pt>
                <c:pt idx="482">
                  <c:v>150</c:v>
                </c:pt>
                <c:pt idx="483">
                  <c:v>150</c:v>
                </c:pt>
                <c:pt idx="484">
                  <c:v>150</c:v>
                </c:pt>
                <c:pt idx="485">
                  <c:v>150</c:v>
                </c:pt>
                <c:pt idx="486">
                  <c:v>150</c:v>
                </c:pt>
                <c:pt idx="487">
                  <c:v>150</c:v>
                </c:pt>
                <c:pt idx="488">
                  <c:v>150</c:v>
                </c:pt>
                <c:pt idx="489">
                  <c:v>150</c:v>
                </c:pt>
                <c:pt idx="490">
                  <c:v>150</c:v>
                </c:pt>
                <c:pt idx="491">
                  <c:v>150</c:v>
                </c:pt>
                <c:pt idx="492">
                  <c:v>150</c:v>
                </c:pt>
                <c:pt idx="493">
                  <c:v>150</c:v>
                </c:pt>
                <c:pt idx="494">
                  <c:v>150</c:v>
                </c:pt>
                <c:pt idx="495">
                  <c:v>150</c:v>
                </c:pt>
                <c:pt idx="496">
                  <c:v>150</c:v>
                </c:pt>
                <c:pt idx="497">
                  <c:v>150</c:v>
                </c:pt>
                <c:pt idx="498">
                  <c:v>150</c:v>
                </c:pt>
                <c:pt idx="499">
                  <c:v>150</c:v>
                </c:pt>
                <c:pt idx="500">
                  <c:v>120</c:v>
                </c:pt>
                <c:pt idx="501">
                  <c:v>120</c:v>
                </c:pt>
                <c:pt idx="502">
                  <c:v>120</c:v>
                </c:pt>
                <c:pt idx="503">
                  <c:v>120</c:v>
                </c:pt>
                <c:pt idx="504">
                  <c:v>120</c:v>
                </c:pt>
                <c:pt idx="505">
                  <c:v>120</c:v>
                </c:pt>
                <c:pt idx="506">
                  <c:v>120</c:v>
                </c:pt>
                <c:pt idx="507">
                  <c:v>120</c:v>
                </c:pt>
                <c:pt idx="508">
                  <c:v>120</c:v>
                </c:pt>
                <c:pt idx="509">
                  <c:v>120</c:v>
                </c:pt>
                <c:pt idx="510">
                  <c:v>120</c:v>
                </c:pt>
                <c:pt idx="511">
                  <c:v>120</c:v>
                </c:pt>
                <c:pt idx="512">
                  <c:v>120</c:v>
                </c:pt>
                <c:pt idx="513">
                  <c:v>120</c:v>
                </c:pt>
                <c:pt idx="514">
                  <c:v>120</c:v>
                </c:pt>
                <c:pt idx="515">
                  <c:v>120</c:v>
                </c:pt>
                <c:pt idx="516">
                  <c:v>120</c:v>
                </c:pt>
                <c:pt idx="517">
                  <c:v>120</c:v>
                </c:pt>
                <c:pt idx="518">
                  <c:v>120</c:v>
                </c:pt>
                <c:pt idx="519">
                  <c:v>120</c:v>
                </c:pt>
                <c:pt idx="520">
                  <c:v>120</c:v>
                </c:pt>
                <c:pt idx="521">
                  <c:v>120</c:v>
                </c:pt>
                <c:pt idx="522">
                  <c:v>120</c:v>
                </c:pt>
                <c:pt idx="523">
                  <c:v>120</c:v>
                </c:pt>
                <c:pt idx="524">
                  <c:v>120</c:v>
                </c:pt>
                <c:pt idx="525">
                  <c:v>120</c:v>
                </c:pt>
                <c:pt idx="526">
                  <c:v>120</c:v>
                </c:pt>
                <c:pt idx="527">
                  <c:v>120</c:v>
                </c:pt>
                <c:pt idx="528">
                  <c:v>120</c:v>
                </c:pt>
                <c:pt idx="529">
                  <c:v>120</c:v>
                </c:pt>
                <c:pt idx="530">
                  <c:v>120</c:v>
                </c:pt>
                <c:pt idx="531">
                  <c:v>120</c:v>
                </c:pt>
                <c:pt idx="532">
                  <c:v>120</c:v>
                </c:pt>
                <c:pt idx="533">
                  <c:v>120</c:v>
                </c:pt>
                <c:pt idx="534">
                  <c:v>120</c:v>
                </c:pt>
                <c:pt idx="535">
                  <c:v>120</c:v>
                </c:pt>
                <c:pt idx="536">
                  <c:v>120</c:v>
                </c:pt>
                <c:pt idx="537">
                  <c:v>120</c:v>
                </c:pt>
                <c:pt idx="538">
                  <c:v>120</c:v>
                </c:pt>
                <c:pt idx="539">
                  <c:v>120</c:v>
                </c:pt>
                <c:pt idx="540">
                  <c:v>120</c:v>
                </c:pt>
                <c:pt idx="541">
                  <c:v>120</c:v>
                </c:pt>
                <c:pt idx="542">
                  <c:v>120</c:v>
                </c:pt>
                <c:pt idx="543">
                  <c:v>100</c:v>
                </c:pt>
                <c:pt idx="544">
                  <c:v>100</c:v>
                </c:pt>
                <c:pt idx="545">
                  <c:v>100</c:v>
                </c:pt>
                <c:pt idx="546">
                  <c:v>100</c:v>
                </c:pt>
                <c:pt idx="547">
                  <c:v>100</c:v>
                </c:pt>
                <c:pt idx="548">
                  <c:v>100</c:v>
                </c:pt>
                <c:pt idx="549">
                  <c:v>100</c:v>
                </c:pt>
                <c:pt idx="550">
                  <c:v>100</c:v>
                </c:pt>
                <c:pt idx="551">
                  <c:v>100</c:v>
                </c:pt>
                <c:pt idx="552">
                  <c:v>100</c:v>
                </c:pt>
                <c:pt idx="553">
                  <c:v>100</c:v>
                </c:pt>
                <c:pt idx="554">
                  <c:v>100</c:v>
                </c:pt>
                <c:pt idx="555">
                  <c:v>100</c:v>
                </c:pt>
                <c:pt idx="556">
                  <c:v>100</c:v>
                </c:pt>
                <c:pt idx="557">
                  <c:v>100</c:v>
                </c:pt>
                <c:pt idx="558">
                  <c:v>100</c:v>
                </c:pt>
                <c:pt idx="559">
                  <c:v>100</c:v>
                </c:pt>
                <c:pt idx="560">
                  <c:v>100</c:v>
                </c:pt>
                <c:pt idx="561">
                  <c:v>100</c:v>
                </c:pt>
                <c:pt idx="562">
                  <c:v>100</c:v>
                </c:pt>
                <c:pt idx="563">
                  <c:v>100</c:v>
                </c:pt>
                <c:pt idx="564">
                  <c:v>100</c:v>
                </c:pt>
                <c:pt idx="565">
                  <c:v>100</c:v>
                </c:pt>
                <c:pt idx="566">
                  <c:v>100</c:v>
                </c:pt>
                <c:pt idx="567">
                  <c:v>100</c:v>
                </c:pt>
                <c:pt idx="568">
                  <c:v>100</c:v>
                </c:pt>
                <c:pt idx="569">
                  <c:v>100</c:v>
                </c:pt>
                <c:pt idx="570">
                  <c:v>100</c:v>
                </c:pt>
                <c:pt idx="571">
                  <c:v>100</c:v>
                </c:pt>
                <c:pt idx="572">
                  <c:v>100</c:v>
                </c:pt>
                <c:pt idx="573">
                  <c:v>100</c:v>
                </c:pt>
                <c:pt idx="574">
                  <c:v>100</c:v>
                </c:pt>
                <c:pt idx="575">
                  <c:v>100</c:v>
                </c:pt>
                <c:pt idx="576">
                  <c:v>100</c:v>
                </c:pt>
                <c:pt idx="577">
                  <c:v>100</c:v>
                </c:pt>
                <c:pt idx="578">
                  <c:v>100</c:v>
                </c:pt>
                <c:pt idx="579">
                  <c:v>100</c:v>
                </c:pt>
                <c:pt idx="580">
                  <c:v>100</c:v>
                </c:pt>
                <c:pt idx="581">
                  <c:v>100</c:v>
                </c:pt>
                <c:pt idx="582">
                  <c:v>100</c:v>
                </c:pt>
                <c:pt idx="583">
                  <c:v>100</c:v>
                </c:pt>
                <c:pt idx="584">
                  <c:v>100</c:v>
                </c:pt>
                <c:pt idx="585">
                  <c:v>100</c:v>
                </c:pt>
                <c:pt idx="586">
                  <c:v>100</c:v>
                </c:pt>
                <c:pt idx="587">
                  <c:v>100</c:v>
                </c:pt>
                <c:pt idx="588">
                  <c:v>100</c:v>
                </c:pt>
                <c:pt idx="589">
                  <c:v>100</c:v>
                </c:pt>
                <c:pt idx="590">
                  <c:v>100</c:v>
                </c:pt>
                <c:pt idx="591">
                  <c:v>100</c:v>
                </c:pt>
                <c:pt idx="592">
                  <c:v>100</c:v>
                </c:pt>
                <c:pt idx="593">
                  <c:v>100</c:v>
                </c:pt>
                <c:pt idx="594">
                  <c:v>100</c:v>
                </c:pt>
                <c:pt idx="595">
                  <c:v>100</c:v>
                </c:pt>
                <c:pt idx="596">
                  <c:v>100</c:v>
                </c:pt>
                <c:pt idx="597">
                  <c:v>100</c:v>
                </c:pt>
                <c:pt idx="598">
                  <c:v>100</c:v>
                </c:pt>
                <c:pt idx="599">
                  <c:v>100</c:v>
                </c:pt>
                <c:pt idx="600">
                  <c:v>100</c:v>
                </c:pt>
                <c:pt idx="601">
                  <c:v>100</c:v>
                </c:pt>
                <c:pt idx="602">
                  <c:v>100</c:v>
                </c:pt>
                <c:pt idx="603">
                  <c:v>100</c:v>
                </c:pt>
                <c:pt idx="604">
                  <c:v>100</c:v>
                </c:pt>
                <c:pt idx="605">
                  <c:v>100</c:v>
                </c:pt>
                <c:pt idx="606">
                  <c:v>100</c:v>
                </c:pt>
                <c:pt idx="607">
                  <c:v>100</c:v>
                </c:pt>
                <c:pt idx="608">
                  <c:v>100</c:v>
                </c:pt>
                <c:pt idx="609">
                  <c:v>100</c:v>
                </c:pt>
                <c:pt idx="610">
                  <c:v>100</c:v>
                </c:pt>
                <c:pt idx="611">
                  <c:v>100</c:v>
                </c:pt>
                <c:pt idx="612">
                  <c:v>100</c:v>
                </c:pt>
                <c:pt idx="613">
                  <c:v>100</c:v>
                </c:pt>
                <c:pt idx="614">
                  <c:v>100</c:v>
                </c:pt>
                <c:pt idx="615">
                  <c:v>100</c:v>
                </c:pt>
                <c:pt idx="616">
                  <c:v>100</c:v>
                </c:pt>
                <c:pt idx="617">
                  <c:v>100</c:v>
                </c:pt>
                <c:pt idx="618">
                  <c:v>100</c:v>
                </c:pt>
                <c:pt idx="619">
                  <c:v>100</c:v>
                </c:pt>
                <c:pt idx="620">
                  <c:v>100</c:v>
                </c:pt>
                <c:pt idx="621">
                  <c:v>100</c:v>
                </c:pt>
                <c:pt idx="622">
                  <c:v>100</c:v>
                </c:pt>
                <c:pt idx="623">
                  <c:v>100</c:v>
                </c:pt>
                <c:pt idx="624">
                  <c:v>100</c:v>
                </c:pt>
                <c:pt idx="625">
                  <c:v>100</c:v>
                </c:pt>
                <c:pt idx="626">
                  <c:v>100</c:v>
                </c:pt>
                <c:pt idx="627">
                  <c:v>100</c:v>
                </c:pt>
                <c:pt idx="628">
                  <c:v>100</c:v>
                </c:pt>
                <c:pt idx="629">
                  <c:v>100</c:v>
                </c:pt>
                <c:pt idx="630">
                  <c:v>100</c:v>
                </c:pt>
                <c:pt idx="631">
                  <c:v>100</c:v>
                </c:pt>
                <c:pt idx="632">
                  <c:v>100</c:v>
                </c:pt>
                <c:pt idx="633">
                  <c:v>100</c:v>
                </c:pt>
                <c:pt idx="634">
                  <c:v>100</c:v>
                </c:pt>
                <c:pt idx="635">
                  <c:v>100</c:v>
                </c:pt>
                <c:pt idx="636">
                  <c:v>100</c:v>
                </c:pt>
                <c:pt idx="637">
                  <c:v>100</c:v>
                </c:pt>
                <c:pt idx="638">
                  <c:v>100</c:v>
                </c:pt>
                <c:pt idx="639">
                  <c:v>100</c:v>
                </c:pt>
                <c:pt idx="640">
                  <c:v>100</c:v>
                </c:pt>
                <c:pt idx="641">
                  <c:v>100</c:v>
                </c:pt>
                <c:pt idx="642">
                  <c:v>100</c:v>
                </c:pt>
                <c:pt idx="643">
                  <c:v>100</c:v>
                </c:pt>
                <c:pt idx="644">
                  <c:v>100</c:v>
                </c:pt>
                <c:pt idx="645">
                  <c:v>100</c:v>
                </c:pt>
                <c:pt idx="646">
                  <c:v>100</c:v>
                </c:pt>
                <c:pt idx="647">
                  <c:v>100</c:v>
                </c:pt>
                <c:pt idx="648">
                  <c:v>100</c:v>
                </c:pt>
                <c:pt idx="649">
                  <c:v>100</c:v>
                </c:pt>
                <c:pt idx="650">
                  <c:v>100</c:v>
                </c:pt>
                <c:pt idx="651">
                  <c:v>90</c:v>
                </c:pt>
                <c:pt idx="652">
                  <c:v>90</c:v>
                </c:pt>
                <c:pt idx="653">
                  <c:v>90</c:v>
                </c:pt>
                <c:pt idx="654">
                  <c:v>90</c:v>
                </c:pt>
                <c:pt idx="655">
                  <c:v>90</c:v>
                </c:pt>
                <c:pt idx="656">
                  <c:v>90</c:v>
                </c:pt>
                <c:pt idx="657">
                  <c:v>90</c:v>
                </c:pt>
                <c:pt idx="658">
                  <c:v>90</c:v>
                </c:pt>
                <c:pt idx="659">
                  <c:v>90</c:v>
                </c:pt>
                <c:pt idx="660">
                  <c:v>90</c:v>
                </c:pt>
                <c:pt idx="661">
                  <c:v>90</c:v>
                </c:pt>
                <c:pt idx="662">
                  <c:v>90</c:v>
                </c:pt>
                <c:pt idx="663">
                  <c:v>90</c:v>
                </c:pt>
                <c:pt idx="664">
                  <c:v>90</c:v>
                </c:pt>
                <c:pt idx="665">
                  <c:v>90</c:v>
                </c:pt>
                <c:pt idx="666">
                  <c:v>90</c:v>
                </c:pt>
                <c:pt idx="667">
                  <c:v>90</c:v>
                </c:pt>
                <c:pt idx="668">
                  <c:v>90</c:v>
                </c:pt>
                <c:pt idx="669">
                  <c:v>90</c:v>
                </c:pt>
                <c:pt idx="670">
                  <c:v>90</c:v>
                </c:pt>
                <c:pt idx="671">
                  <c:v>90</c:v>
                </c:pt>
                <c:pt idx="672">
                  <c:v>90</c:v>
                </c:pt>
                <c:pt idx="673">
                  <c:v>90</c:v>
                </c:pt>
                <c:pt idx="674">
                  <c:v>90</c:v>
                </c:pt>
                <c:pt idx="675">
                  <c:v>90</c:v>
                </c:pt>
                <c:pt idx="676">
                  <c:v>90</c:v>
                </c:pt>
                <c:pt idx="677">
                  <c:v>90</c:v>
                </c:pt>
                <c:pt idx="678">
                  <c:v>90</c:v>
                </c:pt>
                <c:pt idx="679">
                  <c:v>90</c:v>
                </c:pt>
                <c:pt idx="680">
                  <c:v>90</c:v>
                </c:pt>
                <c:pt idx="681">
                  <c:v>90</c:v>
                </c:pt>
                <c:pt idx="682">
                  <c:v>90</c:v>
                </c:pt>
                <c:pt idx="683">
                  <c:v>90</c:v>
                </c:pt>
                <c:pt idx="684">
                  <c:v>90</c:v>
                </c:pt>
                <c:pt idx="685">
                  <c:v>90</c:v>
                </c:pt>
                <c:pt idx="686">
                  <c:v>90</c:v>
                </c:pt>
                <c:pt idx="687">
                  <c:v>90</c:v>
                </c:pt>
                <c:pt idx="688">
                  <c:v>90</c:v>
                </c:pt>
                <c:pt idx="689">
                  <c:v>90</c:v>
                </c:pt>
                <c:pt idx="690">
                  <c:v>90</c:v>
                </c:pt>
                <c:pt idx="691">
                  <c:v>90</c:v>
                </c:pt>
                <c:pt idx="692">
                  <c:v>90</c:v>
                </c:pt>
                <c:pt idx="693">
                  <c:v>90</c:v>
                </c:pt>
                <c:pt idx="694">
                  <c:v>90</c:v>
                </c:pt>
                <c:pt idx="695">
                  <c:v>75</c:v>
                </c:pt>
                <c:pt idx="696">
                  <c:v>75</c:v>
                </c:pt>
                <c:pt idx="697">
                  <c:v>75</c:v>
                </c:pt>
                <c:pt idx="698">
                  <c:v>75</c:v>
                </c:pt>
                <c:pt idx="699">
                  <c:v>75</c:v>
                </c:pt>
                <c:pt idx="700">
                  <c:v>75</c:v>
                </c:pt>
                <c:pt idx="701">
                  <c:v>75</c:v>
                </c:pt>
                <c:pt idx="702">
                  <c:v>75</c:v>
                </c:pt>
                <c:pt idx="703">
                  <c:v>75</c:v>
                </c:pt>
                <c:pt idx="704">
                  <c:v>75</c:v>
                </c:pt>
                <c:pt idx="705">
                  <c:v>75</c:v>
                </c:pt>
                <c:pt idx="706">
                  <c:v>75</c:v>
                </c:pt>
                <c:pt idx="707">
                  <c:v>75</c:v>
                </c:pt>
                <c:pt idx="708">
                  <c:v>75</c:v>
                </c:pt>
                <c:pt idx="709">
                  <c:v>75</c:v>
                </c:pt>
                <c:pt idx="710">
                  <c:v>75</c:v>
                </c:pt>
                <c:pt idx="711">
                  <c:v>75</c:v>
                </c:pt>
                <c:pt idx="712">
                  <c:v>75</c:v>
                </c:pt>
                <c:pt idx="713">
                  <c:v>75</c:v>
                </c:pt>
                <c:pt idx="714">
                  <c:v>75</c:v>
                </c:pt>
                <c:pt idx="715">
                  <c:v>75</c:v>
                </c:pt>
                <c:pt idx="716">
                  <c:v>75</c:v>
                </c:pt>
                <c:pt idx="717">
                  <c:v>75</c:v>
                </c:pt>
                <c:pt idx="718">
                  <c:v>75</c:v>
                </c:pt>
                <c:pt idx="719">
                  <c:v>75</c:v>
                </c:pt>
                <c:pt idx="720">
                  <c:v>75</c:v>
                </c:pt>
                <c:pt idx="721">
                  <c:v>75</c:v>
                </c:pt>
                <c:pt idx="722">
                  <c:v>75</c:v>
                </c:pt>
                <c:pt idx="723">
                  <c:v>75</c:v>
                </c:pt>
                <c:pt idx="724">
                  <c:v>75</c:v>
                </c:pt>
                <c:pt idx="725">
                  <c:v>75</c:v>
                </c:pt>
                <c:pt idx="726">
                  <c:v>75</c:v>
                </c:pt>
                <c:pt idx="727">
                  <c:v>75</c:v>
                </c:pt>
                <c:pt idx="728">
                  <c:v>75</c:v>
                </c:pt>
                <c:pt idx="729">
                  <c:v>75</c:v>
                </c:pt>
                <c:pt idx="730">
                  <c:v>75</c:v>
                </c:pt>
                <c:pt idx="731">
                  <c:v>75</c:v>
                </c:pt>
                <c:pt idx="732">
                  <c:v>75</c:v>
                </c:pt>
                <c:pt idx="733">
                  <c:v>75</c:v>
                </c:pt>
                <c:pt idx="734">
                  <c:v>75</c:v>
                </c:pt>
                <c:pt idx="735">
                  <c:v>75</c:v>
                </c:pt>
                <c:pt idx="736">
                  <c:v>75</c:v>
                </c:pt>
                <c:pt idx="737">
                  <c:v>75</c:v>
                </c:pt>
                <c:pt idx="738">
                  <c:v>60</c:v>
                </c:pt>
                <c:pt idx="739">
                  <c:v>60</c:v>
                </c:pt>
                <c:pt idx="740">
                  <c:v>60</c:v>
                </c:pt>
                <c:pt idx="741">
                  <c:v>60</c:v>
                </c:pt>
                <c:pt idx="742">
                  <c:v>60</c:v>
                </c:pt>
                <c:pt idx="743">
                  <c:v>60</c:v>
                </c:pt>
                <c:pt idx="744">
                  <c:v>60</c:v>
                </c:pt>
                <c:pt idx="745">
                  <c:v>60</c:v>
                </c:pt>
                <c:pt idx="746">
                  <c:v>60</c:v>
                </c:pt>
                <c:pt idx="747">
                  <c:v>60</c:v>
                </c:pt>
                <c:pt idx="748">
                  <c:v>60</c:v>
                </c:pt>
                <c:pt idx="749">
                  <c:v>60</c:v>
                </c:pt>
                <c:pt idx="750">
                  <c:v>60</c:v>
                </c:pt>
                <c:pt idx="751">
                  <c:v>60</c:v>
                </c:pt>
                <c:pt idx="752">
                  <c:v>60</c:v>
                </c:pt>
                <c:pt idx="753">
                  <c:v>60</c:v>
                </c:pt>
                <c:pt idx="754">
                  <c:v>60</c:v>
                </c:pt>
                <c:pt idx="755">
                  <c:v>60</c:v>
                </c:pt>
                <c:pt idx="756">
                  <c:v>60</c:v>
                </c:pt>
                <c:pt idx="757">
                  <c:v>60</c:v>
                </c:pt>
                <c:pt idx="758">
                  <c:v>60</c:v>
                </c:pt>
                <c:pt idx="759">
                  <c:v>60</c:v>
                </c:pt>
                <c:pt idx="760">
                  <c:v>60</c:v>
                </c:pt>
                <c:pt idx="761">
                  <c:v>60</c:v>
                </c:pt>
                <c:pt idx="762">
                  <c:v>60</c:v>
                </c:pt>
                <c:pt idx="763">
                  <c:v>60</c:v>
                </c:pt>
                <c:pt idx="764">
                  <c:v>60</c:v>
                </c:pt>
                <c:pt idx="765">
                  <c:v>60</c:v>
                </c:pt>
                <c:pt idx="766">
                  <c:v>60</c:v>
                </c:pt>
                <c:pt idx="767">
                  <c:v>60</c:v>
                </c:pt>
                <c:pt idx="768">
                  <c:v>60</c:v>
                </c:pt>
                <c:pt idx="769">
                  <c:v>60</c:v>
                </c:pt>
                <c:pt idx="770">
                  <c:v>60</c:v>
                </c:pt>
                <c:pt idx="771">
                  <c:v>60</c:v>
                </c:pt>
                <c:pt idx="772">
                  <c:v>60</c:v>
                </c:pt>
                <c:pt idx="773">
                  <c:v>60</c:v>
                </c:pt>
                <c:pt idx="774">
                  <c:v>60</c:v>
                </c:pt>
                <c:pt idx="775">
                  <c:v>60</c:v>
                </c:pt>
                <c:pt idx="776">
                  <c:v>60</c:v>
                </c:pt>
                <c:pt idx="777">
                  <c:v>60</c:v>
                </c:pt>
                <c:pt idx="778">
                  <c:v>60</c:v>
                </c:pt>
                <c:pt idx="779">
                  <c:v>60</c:v>
                </c:pt>
                <c:pt idx="780">
                  <c:v>60</c:v>
                </c:pt>
                <c:pt idx="781">
                  <c:v>60</c:v>
                </c:pt>
                <c:pt idx="782">
                  <c:v>60</c:v>
                </c:pt>
                <c:pt idx="783">
                  <c:v>50</c:v>
                </c:pt>
                <c:pt idx="784">
                  <c:v>50</c:v>
                </c:pt>
                <c:pt idx="785">
                  <c:v>50</c:v>
                </c:pt>
                <c:pt idx="786">
                  <c:v>50</c:v>
                </c:pt>
                <c:pt idx="787">
                  <c:v>50</c:v>
                </c:pt>
                <c:pt idx="788">
                  <c:v>50</c:v>
                </c:pt>
                <c:pt idx="789">
                  <c:v>50</c:v>
                </c:pt>
                <c:pt idx="790">
                  <c:v>50</c:v>
                </c:pt>
                <c:pt idx="791">
                  <c:v>50</c:v>
                </c:pt>
                <c:pt idx="792">
                  <c:v>50</c:v>
                </c:pt>
                <c:pt idx="793">
                  <c:v>50</c:v>
                </c:pt>
                <c:pt idx="794">
                  <c:v>50</c:v>
                </c:pt>
                <c:pt idx="795">
                  <c:v>50</c:v>
                </c:pt>
                <c:pt idx="796">
                  <c:v>50</c:v>
                </c:pt>
                <c:pt idx="797">
                  <c:v>50</c:v>
                </c:pt>
                <c:pt idx="798">
                  <c:v>50</c:v>
                </c:pt>
                <c:pt idx="799">
                  <c:v>50</c:v>
                </c:pt>
                <c:pt idx="800">
                  <c:v>50</c:v>
                </c:pt>
                <c:pt idx="801">
                  <c:v>50</c:v>
                </c:pt>
                <c:pt idx="802">
                  <c:v>50</c:v>
                </c:pt>
                <c:pt idx="803">
                  <c:v>50</c:v>
                </c:pt>
                <c:pt idx="804">
                  <c:v>50</c:v>
                </c:pt>
                <c:pt idx="805">
                  <c:v>50</c:v>
                </c:pt>
                <c:pt idx="806">
                  <c:v>50</c:v>
                </c:pt>
                <c:pt idx="807">
                  <c:v>50</c:v>
                </c:pt>
                <c:pt idx="808">
                  <c:v>50</c:v>
                </c:pt>
                <c:pt idx="809">
                  <c:v>50</c:v>
                </c:pt>
                <c:pt idx="810">
                  <c:v>50</c:v>
                </c:pt>
                <c:pt idx="811">
                  <c:v>50</c:v>
                </c:pt>
                <c:pt idx="812">
                  <c:v>50</c:v>
                </c:pt>
                <c:pt idx="813">
                  <c:v>50</c:v>
                </c:pt>
                <c:pt idx="814">
                  <c:v>50</c:v>
                </c:pt>
                <c:pt idx="815">
                  <c:v>50</c:v>
                </c:pt>
                <c:pt idx="816">
                  <c:v>50</c:v>
                </c:pt>
                <c:pt idx="817">
                  <c:v>50</c:v>
                </c:pt>
                <c:pt idx="818">
                  <c:v>50</c:v>
                </c:pt>
                <c:pt idx="819">
                  <c:v>50</c:v>
                </c:pt>
                <c:pt idx="820">
                  <c:v>50</c:v>
                </c:pt>
                <c:pt idx="821">
                  <c:v>50</c:v>
                </c:pt>
                <c:pt idx="822">
                  <c:v>50</c:v>
                </c:pt>
                <c:pt idx="823">
                  <c:v>50</c:v>
                </c:pt>
                <c:pt idx="824">
                  <c:v>50</c:v>
                </c:pt>
                <c:pt idx="825">
                  <c:v>50</c:v>
                </c:pt>
                <c:pt idx="826">
                  <c:v>50</c:v>
                </c:pt>
                <c:pt idx="827">
                  <c:v>50</c:v>
                </c:pt>
                <c:pt idx="828">
                  <c:v>50</c:v>
                </c:pt>
                <c:pt idx="829">
                  <c:v>50</c:v>
                </c:pt>
                <c:pt idx="830">
                  <c:v>50</c:v>
                </c:pt>
                <c:pt idx="831">
                  <c:v>50</c:v>
                </c:pt>
                <c:pt idx="832">
                  <c:v>50</c:v>
                </c:pt>
                <c:pt idx="833">
                  <c:v>50</c:v>
                </c:pt>
                <c:pt idx="834">
                  <c:v>50</c:v>
                </c:pt>
                <c:pt idx="835">
                  <c:v>50</c:v>
                </c:pt>
                <c:pt idx="836">
                  <c:v>50</c:v>
                </c:pt>
                <c:pt idx="837">
                  <c:v>50</c:v>
                </c:pt>
                <c:pt idx="838">
                  <c:v>50</c:v>
                </c:pt>
                <c:pt idx="839">
                  <c:v>50</c:v>
                </c:pt>
                <c:pt idx="840">
                  <c:v>50</c:v>
                </c:pt>
                <c:pt idx="841">
                  <c:v>50</c:v>
                </c:pt>
                <c:pt idx="842">
                  <c:v>50</c:v>
                </c:pt>
                <c:pt idx="843">
                  <c:v>50</c:v>
                </c:pt>
                <c:pt idx="844">
                  <c:v>50</c:v>
                </c:pt>
                <c:pt idx="845">
                  <c:v>50</c:v>
                </c:pt>
                <c:pt idx="846">
                  <c:v>50</c:v>
                </c:pt>
                <c:pt idx="847">
                  <c:v>50</c:v>
                </c:pt>
                <c:pt idx="848">
                  <c:v>50</c:v>
                </c:pt>
                <c:pt idx="849">
                  <c:v>50</c:v>
                </c:pt>
                <c:pt idx="850">
                  <c:v>50</c:v>
                </c:pt>
                <c:pt idx="851">
                  <c:v>50</c:v>
                </c:pt>
                <c:pt idx="852">
                  <c:v>50</c:v>
                </c:pt>
                <c:pt idx="853">
                  <c:v>50</c:v>
                </c:pt>
                <c:pt idx="854">
                  <c:v>50</c:v>
                </c:pt>
                <c:pt idx="855">
                  <c:v>50</c:v>
                </c:pt>
                <c:pt idx="856">
                  <c:v>50</c:v>
                </c:pt>
                <c:pt idx="857">
                  <c:v>50</c:v>
                </c:pt>
                <c:pt idx="858">
                  <c:v>50</c:v>
                </c:pt>
                <c:pt idx="859">
                  <c:v>50</c:v>
                </c:pt>
                <c:pt idx="860">
                  <c:v>50</c:v>
                </c:pt>
                <c:pt idx="861">
                  <c:v>50</c:v>
                </c:pt>
                <c:pt idx="862">
                  <c:v>50</c:v>
                </c:pt>
                <c:pt idx="863">
                  <c:v>50</c:v>
                </c:pt>
                <c:pt idx="864">
                  <c:v>50</c:v>
                </c:pt>
                <c:pt idx="865">
                  <c:v>50</c:v>
                </c:pt>
                <c:pt idx="866">
                  <c:v>50</c:v>
                </c:pt>
                <c:pt idx="867">
                  <c:v>50</c:v>
                </c:pt>
                <c:pt idx="868">
                  <c:v>50</c:v>
                </c:pt>
                <c:pt idx="869">
                  <c:v>50</c:v>
                </c:pt>
                <c:pt idx="870">
                  <c:v>50</c:v>
                </c:pt>
                <c:pt idx="871">
                  <c:v>50</c:v>
                </c:pt>
                <c:pt idx="872">
                  <c:v>50</c:v>
                </c:pt>
                <c:pt idx="873">
                  <c:v>50</c:v>
                </c:pt>
                <c:pt idx="874">
                  <c:v>50</c:v>
                </c:pt>
                <c:pt idx="875">
                  <c:v>50</c:v>
                </c:pt>
                <c:pt idx="876">
                  <c:v>50</c:v>
                </c:pt>
                <c:pt idx="877">
                  <c:v>50</c:v>
                </c:pt>
                <c:pt idx="878">
                  <c:v>50</c:v>
                </c:pt>
                <c:pt idx="879">
                  <c:v>50</c:v>
                </c:pt>
                <c:pt idx="880">
                  <c:v>50</c:v>
                </c:pt>
                <c:pt idx="881">
                  <c:v>50</c:v>
                </c:pt>
                <c:pt idx="882">
                  <c:v>50</c:v>
                </c:pt>
                <c:pt idx="883">
                  <c:v>50</c:v>
                </c:pt>
                <c:pt idx="884">
                  <c:v>50</c:v>
                </c:pt>
                <c:pt idx="885">
                  <c:v>50</c:v>
                </c:pt>
                <c:pt idx="886">
                  <c:v>50</c:v>
                </c:pt>
                <c:pt idx="887">
                  <c:v>50</c:v>
                </c:pt>
                <c:pt idx="888">
                  <c:v>50</c:v>
                </c:pt>
                <c:pt idx="889">
                  <c:v>50</c:v>
                </c:pt>
                <c:pt idx="890">
                  <c:v>50</c:v>
                </c:pt>
                <c:pt idx="891">
                  <c:v>50</c:v>
                </c:pt>
                <c:pt idx="892">
                  <c:v>50</c:v>
                </c:pt>
                <c:pt idx="893">
                  <c:v>50</c:v>
                </c:pt>
                <c:pt idx="894">
                  <c:v>50</c:v>
                </c:pt>
                <c:pt idx="895">
                  <c:v>50</c:v>
                </c:pt>
                <c:pt idx="896">
                  <c:v>50</c:v>
                </c:pt>
                <c:pt idx="897">
                  <c:v>50</c:v>
                </c:pt>
                <c:pt idx="898">
                  <c:v>30</c:v>
                </c:pt>
                <c:pt idx="899">
                  <c:v>30</c:v>
                </c:pt>
                <c:pt idx="900">
                  <c:v>30</c:v>
                </c:pt>
                <c:pt idx="901">
                  <c:v>30</c:v>
                </c:pt>
                <c:pt idx="902">
                  <c:v>30</c:v>
                </c:pt>
                <c:pt idx="903">
                  <c:v>30</c:v>
                </c:pt>
                <c:pt idx="904">
                  <c:v>30</c:v>
                </c:pt>
                <c:pt idx="905">
                  <c:v>30</c:v>
                </c:pt>
                <c:pt idx="906">
                  <c:v>30</c:v>
                </c:pt>
                <c:pt idx="907">
                  <c:v>30</c:v>
                </c:pt>
                <c:pt idx="908">
                  <c:v>30</c:v>
                </c:pt>
                <c:pt idx="909">
                  <c:v>30</c:v>
                </c:pt>
                <c:pt idx="910">
                  <c:v>30</c:v>
                </c:pt>
                <c:pt idx="911">
                  <c:v>30</c:v>
                </c:pt>
                <c:pt idx="912">
                  <c:v>30</c:v>
                </c:pt>
                <c:pt idx="913">
                  <c:v>30</c:v>
                </c:pt>
                <c:pt idx="914">
                  <c:v>30</c:v>
                </c:pt>
                <c:pt idx="915">
                  <c:v>30</c:v>
                </c:pt>
                <c:pt idx="916">
                  <c:v>30</c:v>
                </c:pt>
                <c:pt idx="917">
                  <c:v>30</c:v>
                </c:pt>
                <c:pt idx="918">
                  <c:v>30</c:v>
                </c:pt>
                <c:pt idx="919">
                  <c:v>30</c:v>
                </c:pt>
                <c:pt idx="920">
                  <c:v>30</c:v>
                </c:pt>
                <c:pt idx="921">
                  <c:v>30</c:v>
                </c:pt>
                <c:pt idx="922">
                  <c:v>30</c:v>
                </c:pt>
                <c:pt idx="923">
                  <c:v>30</c:v>
                </c:pt>
                <c:pt idx="924">
                  <c:v>30</c:v>
                </c:pt>
                <c:pt idx="925">
                  <c:v>30</c:v>
                </c:pt>
                <c:pt idx="926">
                  <c:v>30</c:v>
                </c:pt>
                <c:pt idx="927">
                  <c:v>30</c:v>
                </c:pt>
                <c:pt idx="928">
                  <c:v>30</c:v>
                </c:pt>
                <c:pt idx="929">
                  <c:v>30</c:v>
                </c:pt>
                <c:pt idx="930">
                  <c:v>30</c:v>
                </c:pt>
                <c:pt idx="931">
                  <c:v>30</c:v>
                </c:pt>
                <c:pt idx="932">
                  <c:v>30</c:v>
                </c:pt>
                <c:pt idx="933">
                  <c:v>30</c:v>
                </c:pt>
                <c:pt idx="934">
                  <c:v>30</c:v>
                </c:pt>
                <c:pt idx="935">
                  <c:v>30</c:v>
                </c:pt>
                <c:pt idx="936">
                  <c:v>30</c:v>
                </c:pt>
                <c:pt idx="937">
                  <c:v>30</c:v>
                </c:pt>
                <c:pt idx="938">
                  <c:v>30</c:v>
                </c:pt>
                <c:pt idx="939">
                  <c:v>30</c:v>
                </c:pt>
                <c:pt idx="940">
                  <c:v>30</c:v>
                </c:pt>
                <c:pt idx="941">
                  <c:v>30</c:v>
                </c:pt>
                <c:pt idx="942">
                  <c:v>30</c:v>
                </c:pt>
                <c:pt idx="943">
                  <c:v>30</c:v>
                </c:pt>
                <c:pt idx="944">
                  <c:v>30</c:v>
                </c:pt>
                <c:pt idx="945">
                  <c:v>30</c:v>
                </c:pt>
                <c:pt idx="946">
                  <c:v>30</c:v>
                </c:pt>
                <c:pt idx="947">
                  <c:v>30</c:v>
                </c:pt>
                <c:pt idx="948">
                  <c:v>30</c:v>
                </c:pt>
                <c:pt idx="949">
                  <c:v>25</c:v>
                </c:pt>
                <c:pt idx="950">
                  <c:v>25</c:v>
                </c:pt>
                <c:pt idx="951">
                  <c:v>25</c:v>
                </c:pt>
                <c:pt idx="952">
                  <c:v>25</c:v>
                </c:pt>
                <c:pt idx="953">
                  <c:v>25</c:v>
                </c:pt>
                <c:pt idx="954">
                  <c:v>25</c:v>
                </c:pt>
                <c:pt idx="955">
                  <c:v>25</c:v>
                </c:pt>
                <c:pt idx="956">
                  <c:v>25</c:v>
                </c:pt>
                <c:pt idx="957">
                  <c:v>25</c:v>
                </c:pt>
                <c:pt idx="958">
                  <c:v>25</c:v>
                </c:pt>
                <c:pt idx="959">
                  <c:v>25</c:v>
                </c:pt>
                <c:pt idx="960">
                  <c:v>25</c:v>
                </c:pt>
                <c:pt idx="961">
                  <c:v>25</c:v>
                </c:pt>
                <c:pt idx="962">
                  <c:v>25</c:v>
                </c:pt>
                <c:pt idx="963">
                  <c:v>25</c:v>
                </c:pt>
                <c:pt idx="964">
                  <c:v>25</c:v>
                </c:pt>
                <c:pt idx="965">
                  <c:v>25</c:v>
                </c:pt>
                <c:pt idx="966">
                  <c:v>25</c:v>
                </c:pt>
                <c:pt idx="967">
                  <c:v>25</c:v>
                </c:pt>
                <c:pt idx="968">
                  <c:v>25</c:v>
                </c:pt>
                <c:pt idx="969">
                  <c:v>25</c:v>
                </c:pt>
                <c:pt idx="970">
                  <c:v>25</c:v>
                </c:pt>
                <c:pt idx="971">
                  <c:v>25</c:v>
                </c:pt>
                <c:pt idx="972">
                  <c:v>25</c:v>
                </c:pt>
                <c:pt idx="973">
                  <c:v>25</c:v>
                </c:pt>
                <c:pt idx="974">
                  <c:v>25</c:v>
                </c:pt>
                <c:pt idx="975">
                  <c:v>25</c:v>
                </c:pt>
                <c:pt idx="976">
                  <c:v>25</c:v>
                </c:pt>
                <c:pt idx="977">
                  <c:v>25</c:v>
                </c:pt>
                <c:pt idx="978">
                  <c:v>25</c:v>
                </c:pt>
                <c:pt idx="979">
                  <c:v>25</c:v>
                </c:pt>
                <c:pt idx="980">
                  <c:v>25</c:v>
                </c:pt>
                <c:pt idx="981">
                  <c:v>25</c:v>
                </c:pt>
                <c:pt idx="982">
                  <c:v>25</c:v>
                </c:pt>
                <c:pt idx="983">
                  <c:v>25</c:v>
                </c:pt>
                <c:pt idx="984">
                  <c:v>25</c:v>
                </c:pt>
                <c:pt idx="985">
                  <c:v>25</c:v>
                </c:pt>
                <c:pt idx="986">
                  <c:v>25</c:v>
                </c:pt>
                <c:pt idx="987">
                  <c:v>25</c:v>
                </c:pt>
                <c:pt idx="988">
                  <c:v>25</c:v>
                </c:pt>
                <c:pt idx="989">
                  <c:v>25</c:v>
                </c:pt>
                <c:pt idx="990">
                  <c:v>25</c:v>
                </c:pt>
                <c:pt idx="991">
                  <c:v>25</c:v>
                </c:pt>
                <c:pt idx="992">
                  <c:v>25</c:v>
                </c:pt>
                <c:pt idx="993">
                  <c:v>25</c:v>
                </c:pt>
                <c:pt idx="994">
                  <c:v>25</c:v>
                </c:pt>
                <c:pt idx="995">
                  <c:v>25</c:v>
                </c:pt>
                <c:pt idx="996">
                  <c:v>25</c:v>
                </c:pt>
                <c:pt idx="997">
                  <c:v>25</c:v>
                </c:pt>
                <c:pt idx="998">
                  <c:v>25</c:v>
                </c:pt>
                <c:pt idx="999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AC-4B8B-A32C-D222A6C29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0147455"/>
        <c:axId val="550146207"/>
      </c:lineChart>
      <c:catAx>
        <c:axId val="55014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146207"/>
        <c:crosses val="autoZero"/>
        <c:auto val="1"/>
        <c:lblAlgn val="ctr"/>
        <c:lblOffset val="100"/>
        <c:noMultiLvlLbl val="0"/>
      </c:catAx>
      <c:valAx>
        <c:axId val="55014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147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project.xlsx]L...retail_sales_dataset  PROJE!PivotTable8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'L...retail_sales_dataset  PROJE'!$Q$2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'L...retail_sales_dataset  PROJE'!$P$3:$P$6</c:f>
              <c:strCache>
                <c:ptCount val="3"/>
                <c:pt idx="0">
                  <c:v>Electronics</c:v>
                </c:pt>
                <c:pt idx="1">
                  <c:v>Clothing</c:v>
                </c:pt>
                <c:pt idx="2">
                  <c:v>Beauty</c:v>
                </c:pt>
              </c:strCache>
            </c:strRef>
          </c:cat>
          <c:val>
            <c:numRef>
              <c:f>'L...retail_sales_dataset  PROJE'!$Q$3:$Q$6</c:f>
              <c:numCache>
                <c:formatCode>General</c:formatCode>
                <c:ptCount val="3"/>
                <c:pt idx="0">
                  <c:v>156905</c:v>
                </c:pt>
                <c:pt idx="1">
                  <c:v>155580</c:v>
                </c:pt>
                <c:pt idx="2">
                  <c:v>143515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99-4D72-814C-27B1A150D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7495183"/>
        <c:axId val="427505167"/>
      </c:barChart>
      <c:catAx>
        <c:axId val="427495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505167"/>
        <c:crosses val="autoZero"/>
        <c:auto val="1"/>
        <c:lblAlgn val="ctr"/>
        <c:lblOffset val="100"/>
        <c:noMultiLvlLbl val="0"/>
      </c:catAx>
      <c:valAx>
        <c:axId val="427505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495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project.xlsx]L...retail_sales_dataset  PROJE!PivotTable9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'L...retail_sales_dataset  PROJE'!$Q$9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'L...retail_sales_dataset  PROJE'!$P$10:$P$13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'L...retail_sales_dataset  PROJE'!$Q$10:$Q$13</c:f>
              <c:numCache>
                <c:formatCode>General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C6-4180-B487-928FF3DCB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0291647"/>
        <c:axId val="430298719"/>
      </c:barChart>
      <c:catAx>
        <c:axId val="430291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298719"/>
        <c:crosses val="autoZero"/>
        <c:auto val="1"/>
        <c:lblAlgn val="ctr"/>
        <c:lblOffset val="100"/>
        <c:noMultiLvlLbl val="0"/>
      </c:catAx>
      <c:valAx>
        <c:axId val="430298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291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project.xlsx]L...retail_sales_dataset  PROJE!PivotTable10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'L...retail_sales_dataset  PROJE'!$Q$16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'L...retail_sales_dataset  PROJE'!$P$17:$P$20</c:f>
              <c:strCache>
                <c:ptCount val="3"/>
                <c:pt idx="0">
                  <c:v>Beauty</c:v>
                </c:pt>
                <c:pt idx="1">
                  <c:v>Electronics</c:v>
                </c:pt>
                <c:pt idx="2">
                  <c:v>Clothing</c:v>
                </c:pt>
              </c:strCache>
            </c:strRef>
          </c:cat>
          <c:val>
            <c:numRef>
              <c:f>'L...retail_sales_dataset  PROJE'!$Q$17:$Q$20</c:f>
              <c:numCache>
                <c:formatCode>General</c:formatCode>
                <c:ptCount val="3"/>
                <c:pt idx="0">
                  <c:v>184.05537459283389</c:v>
                </c:pt>
                <c:pt idx="1">
                  <c:v>181.90058479532163</c:v>
                </c:pt>
                <c:pt idx="2">
                  <c:v>174.28774928774928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7E-49DE-9405-25E7AFF90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199615"/>
        <c:axId val="586200447"/>
        <c:axId val="586834383"/>
      </c:area3DChart>
      <c:catAx>
        <c:axId val="5861996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200447"/>
        <c:crosses val="autoZero"/>
        <c:auto val="1"/>
        <c:lblAlgn val="ctr"/>
        <c:lblOffset val="100"/>
        <c:noMultiLvlLbl val="0"/>
      </c:catAx>
      <c:valAx>
        <c:axId val="58620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199615"/>
        <c:crosses val="autoZero"/>
        <c:crossBetween val="midCat"/>
      </c:valAx>
      <c:serAx>
        <c:axId val="58683438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200447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project.xlsx]L...retail_sales_dataset  PROJE!PivotTable11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'L...retail_sales_dataset  PROJE'!$Q$23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C7C-45D3-B935-B77EE0C3051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C7C-45D3-B935-B77EE0C3051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C7C-45D3-B935-B77EE0C30516}"/>
              </c:ext>
            </c:extLst>
          </c:dPt>
          <c:cat>
            <c:strRef>
              <c:f>'L...retail_sales_dataset  PROJE'!$P$24:$P$27</c:f>
              <c:strCache>
                <c:ptCount val="3"/>
                <c:pt idx="0">
                  <c:v>Electronics</c:v>
                </c:pt>
                <c:pt idx="1">
                  <c:v>Clothing</c:v>
                </c:pt>
                <c:pt idx="2">
                  <c:v>Beauty</c:v>
                </c:pt>
              </c:strCache>
            </c:strRef>
          </c:cat>
          <c:val>
            <c:numRef>
              <c:f>'L...retail_sales_dataset  PROJE'!$Q$24:$Q$27</c:f>
              <c:numCache>
                <c:formatCode>General</c:formatCode>
                <c:ptCount val="3"/>
                <c:pt idx="0">
                  <c:v>175911</c:v>
                </c:pt>
                <c:pt idx="1">
                  <c:v>173725</c:v>
                </c:pt>
                <c:pt idx="2">
                  <c:v>150864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C7C-45D3-B935-B77EE0C30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project.xlsx]L...retail_sales_dataset  PROJE!PivotTable12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'L...retail_sales_dataset  PROJE'!$Q$30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'L...retail_sales_dataset  PROJE'!$P$31:$P$45</c:f>
              <c:multiLvlStrCache>
                <c:ptCount val="1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'L...retail_sales_dataset  PROJE'!$Q$31:$Q$45</c:f>
              <c:numCache>
                <c:formatCode>General</c:formatCode>
                <c:ptCount val="13"/>
                <c:pt idx="0">
                  <c:v>35450</c:v>
                </c:pt>
                <c:pt idx="1">
                  <c:v>44060</c:v>
                </c:pt>
                <c:pt idx="2">
                  <c:v>28990</c:v>
                </c:pt>
                <c:pt idx="3">
                  <c:v>33870</c:v>
                </c:pt>
                <c:pt idx="4">
                  <c:v>53150</c:v>
                </c:pt>
                <c:pt idx="5">
                  <c:v>36715</c:v>
                </c:pt>
                <c:pt idx="6">
                  <c:v>35465</c:v>
                </c:pt>
                <c:pt idx="7">
                  <c:v>36960</c:v>
                </c:pt>
                <c:pt idx="8">
                  <c:v>23620</c:v>
                </c:pt>
                <c:pt idx="9">
                  <c:v>46580</c:v>
                </c:pt>
                <c:pt idx="10">
                  <c:v>34920</c:v>
                </c:pt>
                <c:pt idx="11">
                  <c:v>44690</c:v>
                </c:pt>
                <c:pt idx="12">
                  <c:v>1530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80-4645-8F68-D4D287AA2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3208687"/>
        <c:axId val="583207855"/>
      </c:barChart>
      <c:catAx>
        <c:axId val="58320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207855"/>
        <c:crosses val="autoZero"/>
        <c:auto val="1"/>
        <c:lblAlgn val="ctr"/>
        <c:lblOffset val="100"/>
        <c:noMultiLvlLbl val="0"/>
      </c:catAx>
      <c:valAx>
        <c:axId val="58320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208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project.xlsx]L...retail_sales_dataset  PROJE!PivotTable13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'L...retail_sales_dataset  PROJE'!$T$2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'L...retail_sales_dataset  PROJE'!$S$3:$S$20</c:f>
              <c:multiLvlStrCache>
                <c:ptCount val="11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10">
                    <c:v>Jan</c:v>
                  </c:pt>
                </c:lvl>
                <c:lvl>
                  <c:pt idx="0">
                    <c:v>Qtr1</c:v>
                  </c:pt>
                  <c:pt idx="3">
                    <c:v>Qtr2</c:v>
                  </c:pt>
                  <c:pt idx="6">
                    <c:v>Qtr3</c:v>
                  </c:pt>
                  <c:pt idx="9">
                    <c:v>Qtr4</c:v>
                  </c:pt>
                  <c:pt idx="10">
                    <c:v>Qtr1</c:v>
                  </c:pt>
                </c:lvl>
                <c:lvl>
                  <c:pt idx="0">
                    <c:v>2023</c:v>
                  </c:pt>
                  <c:pt idx="10">
                    <c:v>2024</c:v>
                  </c:pt>
                </c:lvl>
              </c:multiLvlStrCache>
            </c:multiLvlStrRef>
          </c:cat>
          <c:val>
            <c:numRef>
              <c:f>'L...retail_sales_dataset  PROJE'!$T$3:$T$20</c:f>
              <c:numCache>
                <c:formatCode>General</c:formatCode>
                <c:ptCount val="11"/>
                <c:pt idx="0">
                  <c:v>35450</c:v>
                </c:pt>
                <c:pt idx="1">
                  <c:v>44060</c:v>
                </c:pt>
                <c:pt idx="2">
                  <c:v>28990</c:v>
                </c:pt>
                <c:pt idx="3">
                  <c:v>33870</c:v>
                </c:pt>
                <c:pt idx="4">
                  <c:v>53150</c:v>
                </c:pt>
                <c:pt idx="5">
                  <c:v>36715</c:v>
                </c:pt>
                <c:pt idx="6">
                  <c:v>35465</c:v>
                </c:pt>
                <c:pt idx="7">
                  <c:v>36960</c:v>
                </c:pt>
                <c:pt idx="8">
                  <c:v>23620</c:v>
                </c:pt>
                <c:pt idx="9">
                  <c:v>126190</c:v>
                </c:pt>
                <c:pt idx="10">
                  <c:v>1530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E7-498D-B32D-C5768FABC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8937871"/>
        <c:axId val="558940783"/>
      </c:barChart>
      <c:catAx>
        <c:axId val="558937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940783"/>
        <c:crosses val="autoZero"/>
        <c:auto val="1"/>
        <c:lblAlgn val="ctr"/>
        <c:lblOffset val="100"/>
        <c:noMultiLvlLbl val="0"/>
      </c:catAx>
      <c:valAx>
        <c:axId val="558940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937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project.xlsx]L...retail_sales_dataset  PROJE!PivotTable14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'L...retail_sales_dataset  PROJE'!$T$23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583-49DF-8BD1-42614C696F2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583-49DF-8BD1-42614C696F2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583-49DF-8BD1-42614C696F2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583-49DF-8BD1-42614C696F2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583-49DF-8BD1-42614C696F2B}"/>
              </c:ext>
            </c:extLst>
          </c:dPt>
          <c:cat>
            <c:multiLvlStrRef>
              <c:f>'L...retail_sales_dataset  PROJE'!$S$24:$S$33</c:f>
              <c:multiLvlStrCache>
                <c:ptCount val="5"/>
                <c:lvl>
                  <c:pt idx="0">
                    <c:v>2023</c:v>
                  </c:pt>
                  <c:pt idx="1">
                    <c:v>2024</c:v>
                  </c:pt>
                  <c:pt idx="2">
                    <c:v>2023</c:v>
                  </c:pt>
                  <c:pt idx="3">
                    <c:v>2023</c:v>
                  </c:pt>
                  <c:pt idx="4">
                    <c:v>2023</c:v>
                  </c:pt>
                </c:lvl>
                <c:lvl>
                  <c:pt idx="0">
                    <c:v>Qtr1</c:v>
                  </c:pt>
                  <c:pt idx="2">
                    <c:v>Qtr2</c:v>
                  </c:pt>
                  <c:pt idx="3">
                    <c:v>Qtr3</c:v>
                  </c:pt>
                  <c:pt idx="4">
                    <c:v>Qtr4</c:v>
                  </c:pt>
                </c:lvl>
              </c:multiLvlStrCache>
            </c:multiLvlStrRef>
          </c:cat>
          <c:val>
            <c:numRef>
              <c:f>'L...retail_sales_dataset  PROJE'!$T$24:$T$33</c:f>
              <c:numCache>
                <c:formatCode>General</c:formatCode>
                <c:ptCount val="5"/>
                <c:pt idx="0">
                  <c:v>234</c:v>
                </c:pt>
                <c:pt idx="1">
                  <c:v>2</c:v>
                </c:pt>
                <c:pt idx="2">
                  <c:v>268</c:v>
                </c:pt>
                <c:pt idx="3">
                  <c:v>231</c:v>
                </c:pt>
                <c:pt idx="4">
                  <c:v>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583-49DF-8BD1-42614C696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project.xlsx]L...retail_sales_dataset  PROJE!PivotTable17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'L...retail_sales_dataset  PROJE'!$T$36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4B7-4593-B057-3914BF5882F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4B7-4593-B057-3914BF5882F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4B7-4593-B057-3914BF5882F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4B7-4593-B057-3914BF5882F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4B7-4593-B057-3914BF5882FA}"/>
              </c:ext>
            </c:extLst>
          </c:dPt>
          <c:cat>
            <c:strRef>
              <c:f>'L...retail_sales_dataset  PROJE'!$S$37:$S$42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46-60</c:v>
                </c:pt>
                <c:pt idx="4">
                  <c:v>FALSE</c:v>
                </c:pt>
              </c:strCache>
            </c:strRef>
          </c:cat>
          <c:val>
            <c:numRef>
              <c:f>'L...retail_sales_dataset  PROJE'!$T$37:$T$42</c:f>
              <c:numCache>
                <c:formatCode>General</c:formatCode>
                <c:ptCount val="5"/>
                <c:pt idx="0">
                  <c:v>169</c:v>
                </c:pt>
                <c:pt idx="1">
                  <c:v>205</c:v>
                </c:pt>
                <c:pt idx="2">
                  <c:v>202</c:v>
                </c:pt>
                <c:pt idx="3">
                  <c:v>331</c:v>
                </c:pt>
                <c:pt idx="4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4B7-4593-B057-3914BF5882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project.xlsx]L...retail_sales_dataset  PROJE!PivotTable2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'L...retail_sales_dataset  PROJE'!$W$2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'L...retail_sales_dataset  PROJE'!$V$3:$V$8</c:f>
              <c:strCache>
                <c:ptCount val="5"/>
                <c:pt idx="0">
                  <c:v>46-60</c:v>
                </c:pt>
                <c:pt idx="1">
                  <c:v>26-35</c:v>
                </c:pt>
                <c:pt idx="2">
                  <c:v>36-45</c:v>
                </c:pt>
                <c:pt idx="3">
                  <c:v>18-25</c:v>
                </c:pt>
                <c:pt idx="4">
                  <c:v>FALSE</c:v>
                </c:pt>
              </c:strCache>
            </c:strRef>
          </c:cat>
          <c:val>
            <c:numRef>
              <c:f>'L...retail_sales_dataset  PROJE'!$W$3:$W$8</c:f>
              <c:numCache>
                <c:formatCode>General</c:formatCode>
                <c:ptCount val="5"/>
                <c:pt idx="0">
                  <c:v>147875</c:v>
                </c:pt>
                <c:pt idx="1">
                  <c:v>98480</c:v>
                </c:pt>
                <c:pt idx="2">
                  <c:v>91870</c:v>
                </c:pt>
                <c:pt idx="3">
                  <c:v>84550</c:v>
                </c:pt>
                <c:pt idx="4">
                  <c:v>33225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D0-4F8A-A781-1CC2EAD88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3886240"/>
        <c:axId val="1233889568"/>
      </c:barChart>
      <c:catAx>
        <c:axId val="1233886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889568"/>
        <c:crosses val="autoZero"/>
        <c:auto val="1"/>
        <c:lblAlgn val="ctr"/>
        <c:lblOffset val="100"/>
        <c:noMultiLvlLbl val="0"/>
      </c:catAx>
      <c:valAx>
        <c:axId val="1233889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88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project.xlsx]L...retail_sales_dataset  PROJE!PivotTable3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'L...retail_sales_dataset  PROJE'!$W$11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'L...retail_sales_dataset  PROJE'!$V$12:$V$14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'L...retail_sales_dataset  PROJE'!$W$12:$W$14</c:f>
              <c:numCache>
                <c:formatCode>General</c:formatCode>
                <c:ptCount val="2"/>
                <c:pt idx="0">
                  <c:v>232840</c:v>
                </c:pt>
                <c:pt idx="1">
                  <c:v>223160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E6-4C0F-8F0B-4B11BB347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1529872"/>
        <c:axId val="1591521968"/>
      </c:barChart>
      <c:catAx>
        <c:axId val="159152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521968"/>
        <c:crosses val="autoZero"/>
        <c:auto val="1"/>
        <c:lblAlgn val="ctr"/>
        <c:lblOffset val="100"/>
        <c:noMultiLvlLbl val="0"/>
      </c:catAx>
      <c:valAx>
        <c:axId val="159152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52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project.xlsx]L...retail_sales_dataset  PROJE!PivotTable4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'L...retail_sales_dataset  PROJE'!$W$17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'L...retail_sales_dataset  PROJE'!$V$18:$V$1018</c:f>
              <c:strCach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strCache>
            </c:strRef>
          </c:cat>
          <c:val>
            <c:numRef>
              <c:f>'L...retail_sales_dataset  PROJE'!$W$18:$W$1018</c:f>
              <c:numCache>
                <c:formatCode>General</c:formatCode>
                <c:ptCount val="1000"/>
                <c:pt idx="0">
                  <c:v>150</c:v>
                </c:pt>
                <c:pt idx="1">
                  <c:v>1000</c:v>
                </c:pt>
                <c:pt idx="2">
                  <c:v>30</c:v>
                </c:pt>
                <c:pt idx="3">
                  <c:v>500</c:v>
                </c:pt>
                <c:pt idx="4">
                  <c:v>100</c:v>
                </c:pt>
                <c:pt idx="5">
                  <c:v>30</c:v>
                </c:pt>
                <c:pt idx="6">
                  <c:v>50</c:v>
                </c:pt>
                <c:pt idx="7">
                  <c:v>100</c:v>
                </c:pt>
                <c:pt idx="8">
                  <c:v>600</c:v>
                </c:pt>
                <c:pt idx="9">
                  <c:v>200</c:v>
                </c:pt>
                <c:pt idx="10">
                  <c:v>100</c:v>
                </c:pt>
                <c:pt idx="11">
                  <c:v>75</c:v>
                </c:pt>
                <c:pt idx="12">
                  <c:v>1500</c:v>
                </c:pt>
                <c:pt idx="13">
                  <c:v>120</c:v>
                </c:pt>
                <c:pt idx="14">
                  <c:v>2000</c:v>
                </c:pt>
                <c:pt idx="15">
                  <c:v>1500</c:v>
                </c:pt>
                <c:pt idx="16">
                  <c:v>100</c:v>
                </c:pt>
                <c:pt idx="17">
                  <c:v>50</c:v>
                </c:pt>
                <c:pt idx="18">
                  <c:v>50</c:v>
                </c:pt>
                <c:pt idx="19">
                  <c:v>900</c:v>
                </c:pt>
                <c:pt idx="20">
                  <c:v>500</c:v>
                </c:pt>
                <c:pt idx="21">
                  <c:v>100</c:v>
                </c:pt>
                <c:pt idx="22">
                  <c:v>120</c:v>
                </c:pt>
                <c:pt idx="23">
                  <c:v>300</c:v>
                </c:pt>
                <c:pt idx="24">
                  <c:v>50</c:v>
                </c:pt>
                <c:pt idx="25">
                  <c:v>1000</c:v>
                </c:pt>
                <c:pt idx="26">
                  <c:v>50</c:v>
                </c:pt>
                <c:pt idx="27">
                  <c:v>500</c:v>
                </c:pt>
                <c:pt idx="28">
                  <c:v>30</c:v>
                </c:pt>
                <c:pt idx="29">
                  <c:v>900</c:v>
                </c:pt>
                <c:pt idx="30">
                  <c:v>1200</c:v>
                </c:pt>
                <c:pt idx="31">
                  <c:v>90</c:v>
                </c:pt>
                <c:pt idx="32">
                  <c:v>100</c:v>
                </c:pt>
                <c:pt idx="33">
                  <c:v>150</c:v>
                </c:pt>
                <c:pt idx="34">
                  <c:v>900</c:v>
                </c:pt>
                <c:pt idx="35">
                  <c:v>900</c:v>
                </c:pt>
                <c:pt idx="36">
                  <c:v>75</c:v>
                </c:pt>
                <c:pt idx="37">
                  <c:v>200</c:v>
                </c:pt>
                <c:pt idx="38">
                  <c:v>120</c:v>
                </c:pt>
                <c:pt idx="39">
                  <c:v>50</c:v>
                </c:pt>
                <c:pt idx="40">
                  <c:v>50</c:v>
                </c:pt>
                <c:pt idx="41">
                  <c:v>900</c:v>
                </c:pt>
                <c:pt idx="42">
                  <c:v>300</c:v>
                </c:pt>
                <c:pt idx="43">
                  <c:v>25</c:v>
                </c:pt>
                <c:pt idx="44">
                  <c:v>30</c:v>
                </c:pt>
                <c:pt idx="45">
                  <c:v>1200</c:v>
                </c:pt>
                <c:pt idx="46">
                  <c:v>1500</c:v>
                </c:pt>
                <c:pt idx="47">
                  <c:v>900</c:v>
                </c:pt>
                <c:pt idx="48">
                  <c:v>1000</c:v>
                </c:pt>
                <c:pt idx="49">
                  <c:v>75</c:v>
                </c:pt>
                <c:pt idx="50">
                  <c:v>75</c:v>
                </c:pt>
                <c:pt idx="51">
                  <c:v>300</c:v>
                </c:pt>
                <c:pt idx="52">
                  <c:v>100</c:v>
                </c:pt>
                <c:pt idx="53">
                  <c:v>1500</c:v>
                </c:pt>
                <c:pt idx="54">
                  <c:v>120</c:v>
                </c:pt>
                <c:pt idx="55">
                  <c:v>900</c:v>
                </c:pt>
                <c:pt idx="56">
                  <c:v>30</c:v>
                </c:pt>
                <c:pt idx="57">
                  <c:v>1200</c:v>
                </c:pt>
                <c:pt idx="58">
                  <c:v>50</c:v>
                </c:pt>
                <c:pt idx="59">
                  <c:v>150</c:v>
                </c:pt>
                <c:pt idx="60">
                  <c:v>200</c:v>
                </c:pt>
                <c:pt idx="61">
                  <c:v>100</c:v>
                </c:pt>
                <c:pt idx="62">
                  <c:v>50</c:v>
                </c:pt>
                <c:pt idx="63">
                  <c:v>100</c:v>
                </c:pt>
                <c:pt idx="64">
                  <c:v>2000</c:v>
                </c:pt>
                <c:pt idx="65">
                  <c:v>30</c:v>
                </c:pt>
                <c:pt idx="66">
                  <c:v>1200</c:v>
                </c:pt>
                <c:pt idx="67">
                  <c:v>300</c:v>
                </c:pt>
                <c:pt idx="68">
                  <c:v>75</c:v>
                </c:pt>
                <c:pt idx="69">
                  <c:v>300</c:v>
                </c:pt>
                <c:pt idx="70">
                  <c:v>100</c:v>
                </c:pt>
                <c:pt idx="71">
                  <c:v>2000</c:v>
                </c:pt>
                <c:pt idx="72">
                  <c:v>90</c:v>
                </c:pt>
                <c:pt idx="73">
                  <c:v>2000</c:v>
                </c:pt>
                <c:pt idx="74">
                  <c:v>200</c:v>
                </c:pt>
                <c:pt idx="75">
                  <c:v>100</c:v>
                </c:pt>
                <c:pt idx="76">
                  <c:v>100</c:v>
                </c:pt>
                <c:pt idx="77">
                  <c:v>1500</c:v>
                </c:pt>
                <c:pt idx="78">
                  <c:v>300</c:v>
                </c:pt>
                <c:pt idx="79">
                  <c:v>60</c:v>
                </c:pt>
                <c:pt idx="80">
                  <c:v>50</c:v>
                </c:pt>
                <c:pt idx="81">
                  <c:v>200</c:v>
                </c:pt>
                <c:pt idx="82">
                  <c:v>100</c:v>
                </c:pt>
                <c:pt idx="83">
                  <c:v>90</c:v>
                </c:pt>
                <c:pt idx="84">
                  <c:v>150</c:v>
                </c:pt>
                <c:pt idx="85">
                  <c:v>90</c:v>
                </c:pt>
                <c:pt idx="86">
                  <c:v>100</c:v>
                </c:pt>
                <c:pt idx="87">
                  <c:v>500</c:v>
                </c:pt>
                <c:pt idx="88">
                  <c:v>2000</c:v>
                </c:pt>
                <c:pt idx="89">
                  <c:v>30</c:v>
                </c:pt>
                <c:pt idx="90">
                  <c:v>500</c:v>
                </c:pt>
                <c:pt idx="91">
                  <c:v>120</c:v>
                </c:pt>
                <c:pt idx="92">
                  <c:v>2000</c:v>
                </c:pt>
                <c:pt idx="93">
                  <c:v>1000</c:v>
                </c:pt>
                <c:pt idx="94">
                  <c:v>60</c:v>
                </c:pt>
                <c:pt idx="95">
                  <c:v>600</c:v>
                </c:pt>
                <c:pt idx="96">
                  <c:v>1000</c:v>
                </c:pt>
                <c:pt idx="97">
                  <c:v>100</c:v>
                </c:pt>
                <c:pt idx="98">
                  <c:v>1200</c:v>
                </c:pt>
                <c:pt idx="99">
                  <c:v>30</c:v>
                </c:pt>
                <c:pt idx="100">
                  <c:v>600</c:v>
                </c:pt>
                <c:pt idx="101">
                  <c:v>50</c:v>
                </c:pt>
                <c:pt idx="102">
                  <c:v>25</c:v>
                </c:pt>
                <c:pt idx="103">
                  <c:v>1000</c:v>
                </c:pt>
                <c:pt idx="104">
                  <c:v>500</c:v>
                </c:pt>
                <c:pt idx="105">
                  <c:v>50</c:v>
                </c:pt>
                <c:pt idx="106">
                  <c:v>1200</c:v>
                </c:pt>
                <c:pt idx="107">
                  <c:v>75</c:v>
                </c:pt>
                <c:pt idx="108">
                  <c:v>2000</c:v>
                </c:pt>
                <c:pt idx="109">
                  <c:v>900</c:v>
                </c:pt>
                <c:pt idx="110">
                  <c:v>1500</c:v>
                </c:pt>
                <c:pt idx="111">
                  <c:v>1500</c:v>
                </c:pt>
                <c:pt idx="112">
                  <c:v>50</c:v>
                </c:pt>
                <c:pt idx="113">
                  <c:v>100</c:v>
                </c:pt>
                <c:pt idx="114">
                  <c:v>1500</c:v>
                </c:pt>
                <c:pt idx="115">
                  <c:v>30</c:v>
                </c:pt>
                <c:pt idx="116">
                  <c:v>1000</c:v>
                </c:pt>
                <c:pt idx="117">
                  <c:v>2000</c:v>
                </c:pt>
                <c:pt idx="118">
                  <c:v>150</c:v>
                </c:pt>
                <c:pt idx="119">
                  <c:v>50</c:v>
                </c:pt>
                <c:pt idx="120">
                  <c:v>200</c:v>
                </c:pt>
                <c:pt idx="121">
                  <c:v>120</c:v>
                </c:pt>
                <c:pt idx="122">
                  <c:v>60</c:v>
                </c:pt>
                <c:pt idx="123">
                  <c:v>2000</c:v>
                </c:pt>
                <c:pt idx="124">
                  <c:v>100</c:v>
                </c:pt>
                <c:pt idx="125">
                  <c:v>90</c:v>
                </c:pt>
                <c:pt idx="126">
                  <c:v>50</c:v>
                </c:pt>
                <c:pt idx="127">
                  <c:v>500</c:v>
                </c:pt>
                <c:pt idx="128">
                  <c:v>600</c:v>
                </c:pt>
                <c:pt idx="129">
                  <c:v>500</c:v>
                </c:pt>
                <c:pt idx="130">
                  <c:v>600</c:v>
                </c:pt>
                <c:pt idx="131">
                  <c:v>200</c:v>
                </c:pt>
                <c:pt idx="132">
                  <c:v>900</c:v>
                </c:pt>
                <c:pt idx="133">
                  <c:v>50</c:v>
                </c:pt>
                <c:pt idx="134">
                  <c:v>50</c:v>
                </c:pt>
                <c:pt idx="135">
                  <c:v>600</c:v>
                </c:pt>
                <c:pt idx="136">
                  <c:v>1000</c:v>
                </c:pt>
                <c:pt idx="137">
                  <c:v>200</c:v>
                </c:pt>
                <c:pt idx="138">
                  <c:v>2000</c:v>
                </c:pt>
                <c:pt idx="139">
                  <c:v>30</c:v>
                </c:pt>
                <c:pt idx="140">
                  <c:v>50</c:v>
                </c:pt>
                <c:pt idx="141">
                  <c:v>1200</c:v>
                </c:pt>
                <c:pt idx="142">
                  <c:v>50</c:v>
                </c:pt>
                <c:pt idx="143">
                  <c:v>1500</c:v>
                </c:pt>
                <c:pt idx="144">
                  <c:v>75</c:v>
                </c:pt>
                <c:pt idx="145">
                  <c:v>200</c:v>
                </c:pt>
                <c:pt idx="146">
                  <c:v>300</c:v>
                </c:pt>
                <c:pt idx="147">
                  <c:v>60</c:v>
                </c:pt>
                <c:pt idx="148">
                  <c:v>75</c:v>
                </c:pt>
                <c:pt idx="149">
                  <c:v>120</c:v>
                </c:pt>
                <c:pt idx="150">
                  <c:v>50</c:v>
                </c:pt>
                <c:pt idx="151">
                  <c:v>2000</c:v>
                </c:pt>
                <c:pt idx="152">
                  <c:v>1000</c:v>
                </c:pt>
                <c:pt idx="153">
                  <c:v>900</c:v>
                </c:pt>
                <c:pt idx="154">
                  <c:v>2000</c:v>
                </c:pt>
                <c:pt idx="155">
                  <c:v>100</c:v>
                </c:pt>
                <c:pt idx="156">
                  <c:v>2000</c:v>
                </c:pt>
                <c:pt idx="157">
                  <c:v>600</c:v>
                </c:pt>
                <c:pt idx="158">
                  <c:v>200</c:v>
                </c:pt>
                <c:pt idx="159">
                  <c:v>100</c:v>
                </c:pt>
                <c:pt idx="160">
                  <c:v>1000</c:v>
                </c:pt>
                <c:pt idx="161">
                  <c:v>60</c:v>
                </c:pt>
                <c:pt idx="162">
                  <c:v>150</c:v>
                </c:pt>
                <c:pt idx="163">
                  <c:v>1500</c:v>
                </c:pt>
                <c:pt idx="164">
                  <c:v>1200</c:v>
                </c:pt>
                <c:pt idx="165">
                  <c:v>2000</c:v>
                </c:pt>
                <c:pt idx="166">
                  <c:v>150</c:v>
                </c:pt>
                <c:pt idx="167">
                  <c:v>300</c:v>
                </c:pt>
                <c:pt idx="168">
                  <c:v>1500</c:v>
                </c:pt>
                <c:pt idx="169">
                  <c:v>50</c:v>
                </c:pt>
                <c:pt idx="170">
                  <c:v>900</c:v>
                </c:pt>
                <c:pt idx="171">
                  <c:v>50</c:v>
                </c:pt>
                <c:pt idx="172">
                  <c:v>120</c:v>
                </c:pt>
                <c:pt idx="173">
                  <c:v>300</c:v>
                </c:pt>
                <c:pt idx="174">
                  <c:v>100</c:v>
                </c:pt>
                <c:pt idx="175">
                  <c:v>100</c:v>
                </c:pt>
                <c:pt idx="176">
                  <c:v>100</c:v>
                </c:pt>
                <c:pt idx="177">
                  <c:v>60</c:v>
                </c:pt>
                <c:pt idx="178">
                  <c:v>300</c:v>
                </c:pt>
                <c:pt idx="179">
                  <c:v>900</c:v>
                </c:pt>
                <c:pt idx="180">
                  <c:v>1200</c:v>
                </c:pt>
                <c:pt idx="181">
                  <c:v>120</c:v>
                </c:pt>
                <c:pt idx="182">
                  <c:v>900</c:v>
                </c:pt>
                <c:pt idx="183">
                  <c:v>200</c:v>
                </c:pt>
                <c:pt idx="184">
                  <c:v>25</c:v>
                </c:pt>
                <c:pt idx="185">
                  <c:v>200</c:v>
                </c:pt>
                <c:pt idx="186">
                  <c:v>100</c:v>
                </c:pt>
                <c:pt idx="187">
                  <c:v>75</c:v>
                </c:pt>
                <c:pt idx="188">
                  <c:v>50</c:v>
                </c:pt>
                <c:pt idx="189">
                  <c:v>90</c:v>
                </c:pt>
                <c:pt idx="190">
                  <c:v>25</c:v>
                </c:pt>
                <c:pt idx="191">
                  <c:v>100</c:v>
                </c:pt>
                <c:pt idx="192">
                  <c:v>1500</c:v>
                </c:pt>
                <c:pt idx="193">
                  <c:v>200</c:v>
                </c:pt>
                <c:pt idx="194">
                  <c:v>30</c:v>
                </c:pt>
                <c:pt idx="195">
                  <c:v>900</c:v>
                </c:pt>
                <c:pt idx="196">
                  <c:v>200</c:v>
                </c:pt>
                <c:pt idx="197">
                  <c:v>900</c:v>
                </c:pt>
                <c:pt idx="198">
                  <c:v>1500</c:v>
                </c:pt>
                <c:pt idx="199">
                  <c:v>150</c:v>
                </c:pt>
                <c:pt idx="200">
                  <c:v>25</c:v>
                </c:pt>
                <c:pt idx="201">
                  <c:v>1200</c:v>
                </c:pt>
                <c:pt idx="202">
                  <c:v>1000</c:v>
                </c:pt>
                <c:pt idx="203">
                  <c:v>25</c:v>
                </c:pt>
                <c:pt idx="204">
                  <c:v>25</c:v>
                </c:pt>
                <c:pt idx="205">
                  <c:v>25</c:v>
                </c:pt>
                <c:pt idx="206">
                  <c:v>50</c:v>
                </c:pt>
                <c:pt idx="207">
                  <c:v>200</c:v>
                </c:pt>
                <c:pt idx="208">
                  <c:v>200</c:v>
                </c:pt>
                <c:pt idx="209">
                  <c:v>200</c:v>
                </c:pt>
                <c:pt idx="210">
                  <c:v>1500</c:v>
                </c:pt>
                <c:pt idx="211">
                  <c:v>1500</c:v>
                </c:pt>
                <c:pt idx="212">
                  <c:v>1500</c:v>
                </c:pt>
                <c:pt idx="213">
                  <c:v>60</c:v>
                </c:pt>
                <c:pt idx="214">
                  <c:v>1500</c:v>
                </c:pt>
                <c:pt idx="215">
                  <c:v>100</c:v>
                </c:pt>
                <c:pt idx="216">
                  <c:v>200</c:v>
                </c:pt>
                <c:pt idx="217">
                  <c:v>90</c:v>
                </c:pt>
                <c:pt idx="218">
                  <c:v>90</c:v>
                </c:pt>
                <c:pt idx="219">
                  <c:v>500</c:v>
                </c:pt>
                <c:pt idx="220">
                  <c:v>600</c:v>
                </c:pt>
                <c:pt idx="221">
                  <c:v>120</c:v>
                </c:pt>
                <c:pt idx="222">
                  <c:v>25</c:v>
                </c:pt>
                <c:pt idx="223">
                  <c:v>50</c:v>
                </c:pt>
                <c:pt idx="224">
                  <c:v>100</c:v>
                </c:pt>
                <c:pt idx="225">
                  <c:v>50</c:v>
                </c:pt>
                <c:pt idx="226">
                  <c:v>100</c:v>
                </c:pt>
                <c:pt idx="227">
                  <c:v>60</c:v>
                </c:pt>
                <c:pt idx="228">
                  <c:v>90</c:v>
                </c:pt>
                <c:pt idx="229">
                  <c:v>25</c:v>
                </c:pt>
                <c:pt idx="230">
                  <c:v>150</c:v>
                </c:pt>
                <c:pt idx="231">
                  <c:v>25</c:v>
                </c:pt>
                <c:pt idx="232">
                  <c:v>600</c:v>
                </c:pt>
                <c:pt idx="233">
                  <c:v>50</c:v>
                </c:pt>
                <c:pt idx="234">
                  <c:v>1000</c:v>
                </c:pt>
                <c:pt idx="235">
                  <c:v>25</c:v>
                </c:pt>
                <c:pt idx="236">
                  <c:v>1000</c:v>
                </c:pt>
                <c:pt idx="237">
                  <c:v>500</c:v>
                </c:pt>
                <c:pt idx="238">
                  <c:v>1500</c:v>
                </c:pt>
                <c:pt idx="239">
                  <c:v>300</c:v>
                </c:pt>
                <c:pt idx="240">
                  <c:v>75</c:v>
                </c:pt>
                <c:pt idx="241">
                  <c:v>25</c:v>
                </c:pt>
                <c:pt idx="242">
                  <c:v>900</c:v>
                </c:pt>
                <c:pt idx="243">
                  <c:v>100</c:v>
                </c:pt>
                <c:pt idx="244">
                  <c:v>90</c:v>
                </c:pt>
                <c:pt idx="245">
                  <c:v>50</c:v>
                </c:pt>
                <c:pt idx="246">
                  <c:v>60</c:v>
                </c:pt>
                <c:pt idx="247">
                  <c:v>900</c:v>
                </c:pt>
                <c:pt idx="248">
                  <c:v>50</c:v>
                </c:pt>
                <c:pt idx="249">
                  <c:v>50</c:v>
                </c:pt>
                <c:pt idx="250">
                  <c:v>200</c:v>
                </c:pt>
                <c:pt idx="251">
                  <c:v>300</c:v>
                </c:pt>
                <c:pt idx="252">
                  <c:v>2000</c:v>
                </c:pt>
                <c:pt idx="253">
                  <c:v>500</c:v>
                </c:pt>
                <c:pt idx="254">
                  <c:v>30</c:v>
                </c:pt>
                <c:pt idx="255">
                  <c:v>1000</c:v>
                </c:pt>
                <c:pt idx="256">
                  <c:v>2000</c:v>
                </c:pt>
                <c:pt idx="257">
                  <c:v>50</c:v>
                </c:pt>
                <c:pt idx="258">
                  <c:v>200</c:v>
                </c:pt>
                <c:pt idx="259">
                  <c:v>60</c:v>
                </c:pt>
                <c:pt idx="260">
                  <c:v>50</c:v>
                </c:pt>
                <c:pt idx="261">
                  <c:v>120</c:v>
                </c:pt>
                <c:pt idx="262">
                  <c:v>60</c:v>
                </c:pt>
                <c:pt idx="263">
                  <c:v>900</c:v>
                </c:pt>
                <c:pt idx="264">
                  <c:v>900</c:v>
                </c:pt>
                <c:pt idx="265">
                  <c:v>60</c:v>
                </c:pt>
                <c:pt idx="266">
                  <c:v>90</c:v>
                </c:pt>
                <c:pt idx="267">
                  <c:v>30</c:v>
                </c:pt>
                <c:pt idx="268">
                  <c:v>2000</c:v>
                </c:pt>
                <c:pt idx="269">
                  <c:v>300</c:v>
                </c:pt>
                <c:pt idx="270">
                  <c:v>120</c:v>
                </c:pt>
                <c:pt idx="271">
                  <c:v>100</c:v>
                </c:pt>
                <c:pt idx="272">
                  <c:v>50</c:v>
                </c:pt>
                <c:pt idx="273">
                  <c:v>1000</c:v>
                </c:pt>
                <c:pt idx="274">
                  <c:v>1000</c:v>
                </c:pt>
                <c:pt idx="275">
                  <c:v>100</c:v>
                </c:pt>
                <c:pt idx="276">
                  <c:v>100</c:v>
                </c:pt>
                <c:pt idx="277">
                  <c:v>100</c:v>
                </c:pt>
                <c:pt idx="278">
                  <c:v>500</c:v>
                </c:pt>
                <c:pt idx="279">
                  <c:v>1500</c:v>
                </c:pt>
                <c:pt idx="280">
                  <c:v>2000</c:v>
                </c:pt>
                <c:pt idx="281">
                  <c:v>200</c:v>
                </c:pt>
                <c:pt idx="282">
                  <c:v>500</c:v>
                </c:pt>
                <c:pt idx="283">
                  <c:v>200</c:v>
                </c:pt>
                <c:pt idx="284">
                  <c:v>25</c:v>
                </c:pt>
                <c:pt idx="285">
                  <c:v>50</c:v>
                </c:pt>
                <c:pt idx="286">
                  <c:v>100</c:v>
                </c:pt>
                <c:pt idx="287">
                  <c:v>120</c:v>
                </c:pt>
                <c:pt idx="288">
                  <c:v>60</c:v>
                </c:pt>
                <c:pt idx="289">
                  <c:v>600</c:v>
                </c:pt>
                <c:pt idx="290">
                  <c:v>600</c:v>
                </c:pt>
                <c:pt idx="291">
                  <c:v>1200</c:v>
                </c:pt>
                <c:pt idx="292">
                  <c:v>90</c:v>
                </c:pt>
                <c:pt idx="293">
                  <c:v>90</c:v>
                </c:pt>
                <c:pt idx="294">
                  <c:v>900</c:v>
                </c:pt>
                <c:pt idx="295">
                  <c:v>1200</c:v>
                </c:pt>
                <c:pt idx="296">
                  <c:v>1000</c:v>
                </c:pt>
                <c:pt idx="297">
                  <c:v>1200</c:v>
                </c:pt>
                <c:pt idx="298">
                  <c:v>1000</c:v>
                </c:pt>
                <c:pt idx="299">
                  <c:v>200</c:v>
                </c:pt>
                <c:pt idx="300">
                  <c:v>120</c:v>
                </c:pt>
                <c:pt idx="301">
                  <c:v>600</c:v>
                </c:pt>
                <c:pt idx="302">
                  <c:v>90</c:v>
                </c:pt>
                <c:pt idx="303">
                  <c:v>60</c:v>
                </c:pt>
                <c:pt idx="304">
                  <c:v>30</c:v>
                </c:pt>
                <c:pt idx="305">
                  <c:v>50</c:v>
                </c:pt>
                <c:pt idx="306">
                  <c:v>50</c:v>
                </c:pt>
                <c:pt idx="307">
                  <c:v>1200</c:v>
                </c:pt>
                <c:pt idx="308">
                  <c:v>25</c:v>
                </c:pt>
                <c:pt idx="309">
                  <c:v>25</c:v>
                </c:pt>
                <c:pt idx="310">
                  <c:v>100</c:v>
                </c:pt>
                <c:pt idx="311">
                  <c:v>120</c:v>
                </c:pt>
                <c:pt idx="312">
                  <c:v>1500</c:v>
                </c:pt>
                <c:pt idx="313">
                  <c:v>120</c:v>
                </c:pt>
                <c:pt idx="314">
                  <c:v>60</c:v>
                </c:pt>
                <c:pt idx="315">
                  <c:v>50</c:v>
                </c:pt>
                <c:pt idx="316">
                  <c:v>90</c:v>
                </c:pt>
                <c:pt idx="317">
                  <c:v>25</c:v>
                </c:pt>
                <c:pt idx="318">
                  <c:v>500</c:v>
                </c:pt>
                <c:pt idx="319">
                  <c:v>1200</c:v>
                </c:pt>
                <c:pt idx="320">
                  <c:v>50</c:v>
                </c:pt>
                <c:pt idx="321">
                  <c:v>500</c:v>
                </c:pt>
                <c:pt idx="322">
                  <c:v>900</c:v>
                </c:pt>
                <c:pt idx="323">
                  <c:v>150</c:v>
                </c:pt>
                <c:pt idx="324">
                  <c:v>50</c:v>
                </c:pt>
                <c:pt idx="325">
                  <c:v>75</c:v>
                </c:pt>
                <c:pt idx="326">
                  <c:v>150</c:v>
                </c:pt>
                <c:pt idx="327">
                  <c:v>100</c:v>
                </c:pt>
                <c:pt idx="328">
                  <c:v>100</c:v>
                </c:pt>
                <c:pt idx="329">
                  <c:v>200</c:v>
                </c:pt>
                <c:pt idx="330">
                  <c:v>90</c:v>
                </c:pt>
                <c:pt idx="331">
                  <c:v>1200</c:v>
                </c:pt>
                <c:pt idx="332">
                  <c:v>1200</c:v>
                </c:pt>
                <c:pt idx="333">
                  <c:v>900</c:v>
                </c:pt>
                <c:pt idx="334">
                  <c:v>120</c:v>
                </c:pt>
                <c:pt idx="335">
                  <c:v>150</c:v>
                </c:pt>
                <c:pt idx="336">
                  <c:v>500</c:v>
                </c:pt>
                <c:pt idx="337">
                  <c:v>100</c:v>
                </c:pt>
                <c:pt idx="338">
                  <c:v>50</c:v>
                </c:pt>
                <c:pt idx="339">
                  <c:v>1200</c:v>
                </c:pt>
                <c:pt idx="340">
                  <c:v>200</c:v>
                </c:pt>
                <c:pt idx="341">
                  <c:v>2000</c:v>
                </c:pt>
                <c:pt idx="342">
                  <c:v>50</c:v>
                </c:pt>
                <c:pt idx="343">
                  <c:v>30</c:v>
                </c:pt>
                <c:pt idx="344">
                  <c:v>30</c:v>
                </c:pt>
                <c:pt idx="345">
                  <c:v>1000</c:v>
                </c:pt>
                <c:pt idx="346">
                  <c:v>25</c:v>
                </c:pt>
                <c:pt idx="347">
                  <c:v>600</c:v>
                </c:pt>
                <c:pt idx="348">
                  <c:v>50</c:v>
                </c:pt>
                <c:pt idx="349">
                  <c:v>75</c:v>
                </c:pt>
                <c:pt idx="350">
                  <c:v>90</c:v>
                </c:pt>
                <c:pt idx="351">
                  <c:v>1000</c:v>
                </c:pt>
                <c:pt idx="352">
                  <c:v>500</c:v>
                </c:pt>
                <c:pt idx="353">
                  <c:v>200</c:v>
                </c:pt>
                <c:pt idx="354">
                  <c:v>500</c:v>
                </c:pt>
                <c:pt idx="355">
                  <c:v>1500</c:v>
                </c:pt>
                <c:pt idx="356">
                  <c:v>75</c:v>
                </c:pt>
                <c:pt idx="357">
                  <c:v>300</c:v>
                </c:pt>
                <c:pt idx="358">
                  <c:v>50</c:v>
                </c:pt>
                <c:pt idx="359">
                  <c:v>100</c:v>
                </c:pt>
                <c:pt idx="360">
                  <c:v>1200</c:v>
                </c:pt>
                <c:pt idx="361">
                  <c:v>25</c:v>
                </c:pt>
                <c:pt idx="362">
                  <c:v>25</c:v>
                </c:pt>
                <c:pt idx="363">
                  <c:v>500</c:v>
                </c:pt>
                <c:pt idx="364">
                  <c:v>300</c:v>
                </c:pt>
                <c:pt idx="365">
                  <c:v>100</c:v>
                </c:pt>
                <c:pt idx="366">
                  <c:v>50</c:v>
                </c:pt>
                <c:pt idx="367">
                  <c:v>1200</c:v>
                </c:pt>
                <c:pt idx="368">
                  <c:v>1500</c:v>
                </c:pt>
                <c:pt idx="369">
                  <c:v>60</c:v>
                </c:pt>
                <c:pt idx="370">
                  <c:v>25</c:v>
                </c:pt>
                <c:pt idx="371">
                  <c:v>1500</c:v>
                </c:pt>
                <c:pt idx="372">
                  <c:v>600</c:v>
                </c:pt>
                <c:pt idx="373">
                  <c:v>75</c:v>
                </c:pt>
                <c:pt idx="374">
                  <c:v>50</c:v>
                </c:pt>
                <c:pt idx="375">
                  <c:v>30</c:v>
                </c:pt>
                <c:pt idx="376">
                  <c:v>200</c:v>
                </c:pt>
                <c:pt idx="377">
                  <c:v>300</c:v>
                </c:pt>
                <c:pt idx="378">
                  <c:v>25</c:v>
                </c:pt>
                <c:pt idx="379">
                  <c:v>600</c:v>
                </c:pt>
                <c:pt idx="380">
                  <c:v>100</c:v>
                </c:pt>
                <c:pt idx="381">
                  <c:v>1000</c:v>
                </c:pt>
                <c:pt idx="382">
                  <c:v>90</c:v>
                </c:pt>
                <c:pt idx="383">
                  <c:v>500</c:v>
                </c:pt>
                <c:pt idx="384">
                  <c:v>1500</c:v>
                </c:pt>
                <c:pt idx="385">
                  <c:v>600</c:v>
                </c:pt>
                <c:pt idx="386">
                  <c:v>30</c:v>
                </c:pt>
                <c:pt idx="387">
                  <c:v>25</c:v>
                </c:pt>
                <c:pt idx="388">
                  <c:v>50</c:v>
                </c:pt>
                <c:pt idx="389">
                  <c:v>100</c:v>
                </c:pt>
                <c:pt idx="390">
                  <c:v>50</c:v>
                </c:pt>
                <c:pt idx="391">
                  <c:v>600</c:v>
                </c:pt>
                <c:pt idx="392">
                  <c:v>1000</c:v>
                </c:pt>
                <c:pt idx="393">
                  <c:v>500</c:v>
                </c:pt>
                <c:pt idx="394">
                  <c:v>1000</c:v>
                </c:pt>
                <c:pt idx="395">
                  <c:v>30</c:v>
                </c:pt>
                <c:pt idx="396">
                  <c:v>25</c:v>
                </c:pt>
                <c:pt idx="397">
                  <c:v>600</c:v>
                </c:pt>
                <c:pt idx="398">
                  <c:v>60</c:v>
                </c:pt>
                <c:pt idx="399">
                  <c:v>200</c:v>
                </c:pt>
                <c:pt idx="400">
                  <c:v>300</c:v>
                </c:pt>
                <c:pt idx="401">
                  <c:v>600</c:v>
                </c:pt>
                <c:pt idx="402">
                  <c:v>600</c:v>
                </c:pt>
                <c:pt idx="403">
                  <c:v>1000</c:v>
                </c:pt>
                <c:pt idx="404">
                  <c:v>1200</c:v>
                </c:pt>
                <c:pt idx="405">
                  <c:v>100</c:v>
                </c:pt>
                <c:pt idx="406">
                  <c:v>900</c:v>
                </c:pt>
                <c:pt idx="407">
                  <c:v>500</c:v>
                </c:pt>
                <c:pt idx="408">
                  <c:v>900</c:v>
                </c:pt>
                <c:pt idx="409">
                  <c:v>100</c:v>
                </c:pt>
                <c:pt idx="410">
                  <c:v>200</c:v>
                </c:pt>
                <c:pt idx="411">
                  <c:v>2000</c:v>
                </c:pt>
                <c:pt idx="412">
                  <c:v>75</c:v>
                </c:pt>
                <c:pt idx="413">
                  <c:v>100</c:v>
                </c:pt>
                <c:pt idx="414">
                  <c:v>60</c:v>
                </c:pt>
                <c:pt idx="415">
                  <c:v>2000</c:v>
                </c:pt>
                <c:pt idx="416">
                  <c:v>900</c:v>
                </c:pt>
                <c:pt idx="417">
                  <c:v>1000</c:v>
                </c:pt>
                <c:pt idx="418">
                  <c:v>90</c:v>
                </c:pt>
                <c:pt idx="419">
                  <c:v>2000</c:v>
                </c:pt>
                <c:pt idx="420">
                  <c:v>1500</c:v>
                </c:pt>
                <c:pt idx="421">
                  <c:v>90</c:v>
                </c:pt>
                <c:pt idx="422">
                  <c:v>25</c:v>
                </c:pt>
                <c:pt idx="423">
                  <c:v>1200</c:v>
                </c:pt>
                <c:pt idx="424">
                  <c:v>120</c:v>
                </c:pt>
                <c:pt idx="425">
                  <c:v>150</c:v>
                </c:pt>
                <c:pt idx="426">
                  <c:v>25</c:v>
                </c:pt>
                <c:pt idx="427">
                  <c:v>200</c:v>
                </c:pt>
                <c:pt idx="428">
                  <c:v>50</c:v>
                </c:pt>
                <c:pt idx="429">
                  <c:v>900</c:v>
                </c:pt>
                <c:pt idx="430">
                  <c:v>1200</c:v>
                </c:pt>
                <c:pt idx="431">
                  <c:v>1000</c:v>
                </c:pt>
                <c:pt idx="432">
                  <c:v>200</c:v>
                </c:pt>
                <c:pt idx="433">
                  <c:v>50</c:v>
                </c:pt>
                <c:pt idx="434">
                  <c:v>900</c:v>
                </c:pt>
                <c:pt idx="435">
                  <c:v>120</c:v>
                </c:pt>
                <c:pt idx="436">
                  <c:v>1200</c:v>
                </c:pt>
                <c:pt idx="437">
                  <c:v>30</c:v>
                </c:pt>
                <c:pt idx="438">
                  <c:v>75</c:v>
                </c:pt>
                <c:pt idx="439">
                  <c:v>600</c:v>
                </c:pt>
                <c:pt idx="440">
                  <c:v>1200</c:v>
                </c:pt>
                <c:pt idx="441">
                  <c:v>100</c:v>
                </c:pt>
                <c:pt idx="442">
                  <c:v>600</c:v>
                </c:pt>
                <c:pt idx="443">
                  <c:v>90</c:v>
                </c:pt>
                <c:pt idx="444">
                  <c:v>300</c:v>
                </c:pt>
                <c:pt idx="445">
                  <c:v>50</c:v>
                </c:pt>
                <c:pt idx="446">
                  <c:v>2000</c:v>
                </c:pt>
                <c:pt idx="447">
                  <c:v>60</c:v>
                </c:pt>
                <c:pt idx="448">
                  <c:v>200</c:v>
                </c:pt>
                <c:pt idx="449">
                  <c:v>50</c:v>
                </c:pt>
                <c:pt idx="450">
                  <c:v>30</c:v>
                </c:pt>
                <c:pt idx="451">
                  <c:v>1500</c:v>
                </c:pt>
                <c:pt idx="452">
                  <c:v>1000</c:v>
                </c:pt>
                <c:pt idx="453">
                  <c:v>25</c:v>
                </c:pt>
                <c:pt idx="454">
                  <c:v>100</c:v>
                </c:pt>
                <c:pt idx="455">
                  <c:v>60</c:v>
                </c:pt>
                <c:pt idx="456">
                  <c:v>900</c:v>
                </c:pt>
                <c:pt idx="457">
                  <c:v>100</c:v>
                </c:pt>
                <c:pt idx="458">
                  <c:v>1200</c:v>
                </c:pt>
                <c:pt idx="459">
                  <c:v>50</c:v>
                </c:pt>
                <c:pt idx="460">
                  <c:v>1000</c:v>
                </c:pt>
                <c:pt idx="461">
                  <c:v>1200</c:v>
                </c:pt>
                <c:pt idx="462">
                  <c:v>1500</c:v>
                </c:pt>
                <c:pt idx="463">
                  <c:v>600</c:v>
                </c:pt>
                <c:pt idx="464">
                  <c:v>150</c:v>
                </c:pt>
                <c:pt idx="465">
                  <c:v>100</c:v>
                </c:pt>
                <c:pt idx="466">
                  <c:v>150</c:v>
                </c:pt>
                <c:pt idx="467">
                  <c:v>25</c:v>
                </c:pt>
                <c:pt idx="468">
                  <c:v>75</c:v>
                </c:pt>
                <c:pt idx="469">
                  <c:v>1000</c:v>
                </c:pt>
                <c:pt idx="470">
                  <c:v>150</c:v>
                </c:pt>
                <c:pt idx="471">
                  <c:v>900</c:v>
                </c:pt>
                <c:pt idx="472">
                  <c:v>50</c:v>
                </c:pt>
                <c:pt idx="473">
                  <c:v>1500</c:v>
                </c:pt>
                <c:pt idx="474">
                  <c:v>75</c:v>
                </c:pt>
                <c:pt idx="475">
                  <c:v>2000</c:v>
                </c:pt>
                <c:pt idx="476">
                  <c:v>120</c:v>
                </c:pt>
                <c:pt idx="477">
                  <c:v>60</c:v>
                </c:pt>
                <c:pt idx="478">
                  <c:v>1200</c:v>
                </c:pt>
                <c:pt idx="479">
                  <c:v>2000</c:v>
                </c:pt>
                <c:pt idx="480">
                  <c:v>1200</c:v>
                </c:pt>
                <c:pt idx="481">
                  <c:v>1200</c:v>
                </c:pt>
                <c:pt idx="482">
                  <c:v>30</c:v>
                </c:pt>
                <c:pt idx="483">
                  <c:v>1200</c:v>
                </c:pt>
                <c:pt idx="484">
                  <c:v>30</c:v>
                </c:pt>
                <c:pt idx="485">
                  <c:v>25</c:v>
                </c:pt>
                <c:pt idx="486">
                  <c:v>2000</c:v>
                </c:pt>
                <c:pt idx="487">
                  <c:v>900</c:v>
                </c:pt>
                <c:pt idx="488">
                  <c:v>30</c:v>
                </c:pt>
                <c:pt idx="489">
                  <c:v>150</c:v>
                </c:pt>
                <c:pt idx="490">
                  <c:v>900</c:v>
                </c:pt>
                <c:pt idx="491">
                  <c:v>100</c:v>
                </c:pt>
                <c:pt idx="492">
                  <c:v>50</c:v>
                </c:pt>
                <c:pt idx="493">
                  <c:v>200</c:v>
                </c:pt>
                <c:pt idx="494">
                  <c:v>60</c:v>
                </c:pt>
                <c:pt idx="495">
                  <c:v>600</c:v>
                </c:pt>
                <c:pt idx="496">
                  <c:v>120</c:v>
                </c:pt>
                <c:pt idx="497">
                  <c:v>100</c:v>
                </c:pt>
                <c:pt idx="498">
                  <c:v>60</c:v>
                </c:pt>
                <c:pt idx="499">
                  <c:v>100</c:v>
                </c:pt>
                <c:pt idx="500">
                  <c:v>60</c:v>
                </c:pt>
                <c:pt idx="501">
                  <c:v>150</c:v>
                </c:pt>
                <c:pt idx="502">
                  <c:v>2000</c:v>
                </c:pt>
                <c:pt idx="503">
                  <c:v>150</c:v>
                </c:pt>
                <c:pt idx="504">
                  <c:v>50</c:v>
                </c:pt>
                <c:pt idx="505">
                  <c:v>1500</c:v>
                </c:pt>
                <c:pt idx="506">
                  <c:v>1500</c:v>
                </c:pt>
                <c:pt idx="507">
                  <c:v>600</c:v>
                </c:pt>
                <c:pt idx="508">
                  <c:v>900</c:v>
                </c:pt>
                <c:pt idx="509">
                  <c:v>200</c:v>
                </c:pt>
                <c:pt idx="510">
                  <c:v>100</c:v>
                </c:pt>
                <c:pt idx="511">
                  <c:v>25</c:v>
                </c:pt>
                <c:pt idx="512">
                  <c:v>100</c:v>
                </c:pt>
                <c:pt idx="513">
                  <c:v>300</c:v>
                </c:pt>
                <c:pt idx="514">
                  <c:v>900</c:v>
                </c:pt>
                <c:pt idx="515">
                  <c:v>100</c:v>
                </c:pt>
                <c:pt idx="516">
                  <c:v>100</c:v>
                </c:pt>
                <c:pt idx="517">
                  <c:v>30</c:v>
                </c:pt>
                <c:pt idx="518">
                  <c:v>120</c:v>
                </c:pt>
                <c:pt idx="519">
                  <c:v>100</c:v>
                </c:pt>
                <c:pt idx="520">
                  <c:v>120</c:v>
                </c:pt>
                <c:pt idx="521">
                  <c:v>1500</c:v>
                </c:pt>
                <c:pt idx="522">
                  <c:v>300</c:v>
                </c:pt>
                <c:pt idx="523">
                  <c:v>1200</c:v>
                </c:pt>
                <c:pt idx="524">
                  <c:v>50</c:v>
                </c:pt>
                <c:pt idx="525">
                  <c:v>100</c:v>
                </c:pt>
                <c:pt idx="526">
                  <c:v>50</c:v>
                </c:pt>
                <c:pt idx="527">
                  <c:v>60</c:v>
                </c:pt>
                <c:pt idx="528">
                  <c:v>150</c:v>
                </c:pt>
                <c:pt idx="529">
                  <c:v>120</c:v>
                </c:pt>
                <c:pt idx="530">
                  <c:v>500</c:v>
                </c:pt>
                <c:pt idx="531">
                  <c:v>120</c:v>
                </c:pt>
                <c:pt idx="532">
                  <c:v>1500</c:v>
                </c:pt>
                <c:pt idx="533">
                  <c:v>1000</c:v>
                </c:pt>
                <c:pt idx="534">
                  <c:v>90</c:v>
                </c:pt>
                <c:pt idx="535">
                  <c:v>120</c:v>
                </c:pt>
                <c:pt idx="536">
                  <c:v>500</c:v>
                </c:pt>
                <c:pt idx="537">
                  <c:v>150</c:v>
                </c:pt>
                <c:pt idx="538">
                  <c:v>500</c:v>
                </c:pt>
                <c:pt idx="539">
                  <c:v>900</c:v>
                </c:pt>
                <c:pt idx="540">
                  <c:v>500</c:v>
                </c:pt>
                <c:pt idx="541">
                  <c:v>50</c:v>
                </c:pt>
                <c:pt idx="542">
                  <c:v>600</c:v>
                </c:pt>
                <c:pt idx="543">
                  <c:v>25</c:v>
                </c:pt>
                <c:pt idx="544">
                  <c:v>50</c:v>
                </c:pt>
                <c:pt idx="545">
                  <c:v>200</c:v>
                </c:pt>
                <c:pt idx="546">
                  <c:v>2000</c:v>
                </c:pt>
                <c:pt idx="547">
                  <c:v>60</c:v>
                </c:pt>
                <c:pt idx="548">
                  <c:v>100</c:v>
                </c:pt>
                <c:pt idx="549">
                  <c:v>900</c:v>
                </c:pt>
                <c:pt idx="550">
                  <c:v>900</c:v>
                </c:pt>
                <c:pt idx="551">
                  <c:v>75</c:v>
                </c:pt>
                <c:pt idx="552">
                  <c:v>1200</c:v>
                </c:pt>
                <c:pt idx="553">
                  <c:v>150</c:v>
                </c:pt>
                <c:pt idx="554">
                  <c:v>300</c:v>
                </c:pt>
                <c:pt idx="555">
                  <c:v>50</c:v>
                </c:pt>
                <c:pt idx="556">
                  <c:v>90</c:v>
                </c:pt>
                <c:pt idx="557">
                  <c:v>25</c:v>
                </c:pt>
                <c:pt idx="558">
                  <c:v>1200</c:v>
                </c:pt>
                <c:pt idx="559">
                  <c:v>50</c:v>
                </c:pt>
                <c:pt idx="560">
                  <c:v>2000</c:v>
                </c:pt>
                <c:pt idx="561">
                  <c:v>50</c:v>
                </c:pt>
                <c:pt idx="562">
                  <c:v>60</c:v>
                </c:pt>
                <c:pt idx="563">
                  <c:v>100</c:v>
                </c:pt>
                <c:pt idx="564">
                  <c:v>60</c:v>
                </c:pt>
                <c:pt idx="565">
                  <c:v>30</c:v>
                </c:pt>
                <c:pt idx="566">
                  <c:v>900</c:v>
                </c:pt>
                <c:pt idx="567">
                  <c:v>300</c:v>
                </c:pt>
                <c:pt idx="568">
                  <c:v>200</c:v>
                </c:pt>
                <c:pt idx="569">
                  <c:v>500</c:v>
                </c:pt>
                <c:pt idx="570">
                  <c:v>50</c:v>
                </c:pt>
                <c:pt idx="571">
                  <c:v>2000</c:v>
                </c:pt>
                <c:pt idx="572">
                  <c:v>60</c:v>
                </c:pt>
                <c:pt idx="573">
                  <c:v>50</c:v>
                </c:pt>
                <c:pt idx="574">
                  <c:v>100</c:v>
                </c:pt>
                <c:pt idx="575">
                  <c:v>150</c:v>
                </c:pt>
                <c:pt idx="576">
                  <c:v>2000</c:v>
                </c:pt>
                <c:pt idx="577">
                  <c:v>120</c:v>
                </c:pt>
                <c:pt idx="578">
                  <c:v>30</c:v>
                </c:pt>
                <c:pt idx="579">
                  <c:v>1500</c:v>
                </c:pt>
                <c:pt idx="580">
                  <c:v>60</c:v>
                </c:pt>
                <c:pt idx="581">
                  <c:v>900</c:v>
                </c:pt>
                <c:pt idx="582">
                  <c:v>100</c:v>
                </c:pt>
                <c:pt idx="583">
                  <c:v>200</c:v>
                </c:pt>
                <c:pt idx="584">
                  <c:v>25</c:v>
                </c:pt>
                <c:pt idx="585">
                  <c:v>50</c:v>
                </c:pt>
                <c:pt idx="586">
                  <c:v>1200</c:v>
                </c:pt>
                <c:pt idx="587">
                  <c:v>60</c:v>
                </c:pt>
                <c:pt idx="588">
                  <c:v>1000</c:v>
                </c:pt>
                <c:pt idx="589">
                  <c:v>900</c:v>
                </c:pt>
                <c:pt idx="590">
                  <c:v>100</c:v>
                </c:pt>
                <c:pt idx="591">
                  <c:v>2000</c:v>
                </c:pt>
                <c:pt idx="592">
                  <c:v>60</c:v>
                </c:pt>
                <c:pt idx="593">
                  <c:v>600</c:v>
                </c:pt>
                <c:pt idx="594">
                  <c:v>2000</c:v>
                </c:pt>
                <c:pt idx="595">
                  <c:v>300</c:v>
                </c:pt>
                <c:pt idx="596">
                  <c:v>1200</c:v>
                </c:pt>
                <c:pt idx="597">
                  <c:v>120</c:v>
                </c:pt>
                <c:pt idx="598">
                  <c:v>100</c:v>
                </c:pt>
                <c:pt idx="599">
                  <c:v>1000</c:v>
                </c:pt>
                <c:pt idx="600">
                  <c:v>30</c:v>
                </c:pt>
                <c:pt idx="601">
                  <c:v>300</c:v>
                </c:pt>
                <c:pt idx="602">
                  <c:v>90</c:v>
                </c:pt>
                <c:pt idx="603">
                  <c:v>200</c:v>
                </c:pt>
                <c:pt idx="604">
                  <c:v>1000</c:v>
                </c:pt>
                <c:pt idx="605">
                  <c:v>50</c:v>
                </c:pt>
                <c:pt idx="606">
                  <c:v>75</c:v>
                </c:pt>
                <c:pt idx="607">
                  <c:v>1500</c:v>
                </c:pt>
                <c:pt idx="608">
                  <c:v>100</c:v>
                </c:pt>
                <c:pt idx="609">
                  <c:v>600</c:v>
                </c:pt>
                <c:pt idx="610">
                  <c:v>1500</c:v>
                </c:pt>
                <c:pt idx="611">
                  <c:v>500</c:v>
                </c:pt>
                <c:pt idx="612">
                  <c:v>90</c:v>
                </c:pt>
                <c:pt idx="613">
                  <c:v>1200</c:v>
                </c:pt>
                <c:pt idx="614">
                  <c:v>100</c:v>
                </c:pt>
                <c:pt idx="615">
                  <c:v>100</c:v>
                </c:pt>
                <c:pt idx="616">
                  <c:v>30</c:v>
                </c:pt>
                <c:pt idx="617">
                  <c:v>50</c:v>
                </c:pt>
                <c:pt idx="618">
                  <c:v>100</c:v>
                </c:pt>
                <c:pt idx="619">
                  <c:v>75</c:v>
                </c:pt>
                <c:pt idx="620">
                  <c:v>1000</c:v>
                </c:pt>
                <c:pt idx="621">
                  <c:v>75</c:v>
                </c:pt>
                <c:pt idx="622">
                  <c:v>150</c:v>
                </c:pt>
                <c:pt idx="623">
                  <c:v>900</c:v>
                </c:pt>
                <c:pt idx="624">
                  <c:v>300</c:v>
                </c:pt>
                <c:pt idx="625">
                  <c:v>2000</c:v>
                </c:pt>
                <c:pt idx="626">
                  <c:v>50</c:v>
                </c:pt>
                <c:pt idx="627">
                  <c:v>200</c:v>
                </c:pt>
                <c:pt idx="628">
                  <c:v>50</c:v>
                </c:pt>
                <c:pt idx="629">
                  <c:v>100</c:v>
                </c:pt>
                <c:pt idx="630">
                  <c:v>90</c:v>
                </c:pt>
                <c:pt idx="631">
                  <c:v>100</c:v>
                </c:pt>
                <c:pt idx="632">
                  <c:v>120</c:v>
                </c:pt>
                <c:pt idx="633">
                  <c:v>2000</c:v>
                </c:pt>
                <c:pt idx="634">
                  <c:v>900</c:v>
                </c:pt>
                <c:pt idx="635">
                  <c:v>1500</c:v>
                </c:pt>
                <c:pt idx="636">
                  <c:v>600</c:v>
                </c:pt>
                <c:pt idx="637">
                  <c:v>500</c:v>
                </c:pt>
                <c:pt idx="638">
                  <c:v>200</c:v>
                </c:pt>
                <c:pt idx="639">
                  <c:v>120</c:v>
                </c:pt>
                <c:pt idx="640">
                  <c:v>300</c:v>
                </c:pt>
                <c:pt idx="641">
                  <c:v>100</c:v>
                </c:pt>
                <c:pt idx="642">
                  <c:v>90</c:v>
                </c:pt>
                <c:pt idx="643">
                  <c:v>75</c:v>
                </c:pt>
                <c:pt idx="644">
                  <c:v>120</c:v>
                </c:pt>
                <c:pt idx="645">
                  <c:v>90</c:v>
                </c:pt>
                <c:pt idx="646">
                  <c:v>1500</c:v>
                </c:pt>
                <c:pt idx="647">
                  <c:v>1200</c:v>
                </c:pt>
                <c:pt idx="648">
                  <c:v>600</c:v>
                </c:pt>
                <c:pt idx="649">
                  <c:v>30</c:v>
                </c:pt>
                <c:pt idx="650">
                  <c:v>150</c:v>
                </c:pt>
                <c:pt idx="651">
                  <c:v>100</c:v>
                </c:pt>
                <c:pt idx="652">
                  <c:v>75</c:v>
                </c:pt>
                <c:pt idx="653">
                  <c:v>75</c:v>
                </c:pt>
                <c:pt idx="654">
                  <c:v>500</c:v>
                </c:pt>
                <c:pt idx="655">
                  <c:v>90</c:v>
                </c:pt>
                <c:pt idx="656">
                  <c:v>25</c:v>
                </c:pt>
                <c:pt idx="657">
                  <c:v>25</c:v>
                </c:pt>
                <c:pt idx="658">
                  <c:v>30</c:v>
                </c:pt>
                <c:pt idx="659">
                  <c:v>1000</c:v>
                </c:pt>
                <c:pt idx="660">
                  <c:v>100</c:v>
                </c:pt>
                <c:pt idx="661">
                  <c:v>1000</c:v>
                </c:pt>
                <c:pt idx="662">
                  <c:v>1200</c:v>
                </c:pt>
                <c:pt idx="663">
                  <c:v>2000</c:v>
                </c:pt>
                <c:pt idx="664">
                  <c:v>50</c:v>
                </c:pt>
                <c:pt idx="665">
                  <c:v>150</c:v>
                </c:pt>
                <c:pt idx="666">
                  <c:v>500</c:v>
                </c:pt>
                <c:pt idx="667">
                  <c:v>150</c:v>
                </c:pt>
                <c:pt idx="668">
                  <c:v>1200</c:v>
                </c:pt>
                <c:pt idx="669">
                  <c:v>30</c:v>
                </c:pt>
                <c:pt idx="670">
                  <c:v>150</c:v>
                </c:pt>
                <c:pt idx="671">
                  <c:v>100</c:v>
                </c:pt>
                <c:pt idx="672">
                  <c:v>1500</c:v>
                </c:pt>
                <c:pt idx="673">
                  <c:v>300</c:v>
                </c:pt>
                <c:pt idx="674">
                  <c:v>60</c:v>
                </c:pt>
                <c:pt idx="675">
                  <c:v>1500</c:v>
                </c:pt>
                <c:pt idx="676">
                  <c:v>1500</c:v>
                </c:pt>
                <c:pt idx="677">
                  <c:v>900</c:v>
                </c:pt>
                <c:pt idx="678">
                  <c:v>90</c:v>
                </c:pt>
                <c:pt idx="679">
                  <c:v>900</c:v>
                </c:pt>
                <c:pt idx="680">
                  <c:v>60</c:v>
                </c:pt>
                <c:pt idx="681">
                  <c:v>1200</c:v>
                </c:pt>
                <c:pt idx="682">
                  <c:v>1000</c:v>
                </c:pt>
                <c:pt idx="683">
                  <c:v>1000</c:v>
                </c:pt>
                <c:pt idx="684">
                  <c:v>50</c:v>
                </c:pt>
                <c:pt idx="685">
                  <c:v>200</c:v>
                </c:pt>
                <c:pt idx="686">
                  <c:v>300</c:v>
                </c:pt>
                <c:pt idx="687">
                  <c:v>100</c:v>
                </c:pt>
                <c:pt idx="688">
                  <c:v>100</c:v>
                </c:pt>
                <c:pt idx="689">
                  <c:v>900</c:v>
                </c:pt>
                <c:pt idx="690">
                  <c:v>90</c:v>
                </c:pt>
                <c:pt idx="691">
                  <c:v>100</c:v>
                </c:pt>
                <c:pt idx="692">
                  <c:v>1500</c:v>
                </c:pt>
                <c:pt idx="693">
                  <c:v>50</c:v>
                </c:pt>
                <c:pt idx="694">
                  <c:v>150</c:v>
                </c:pt>
                <c:pt idx="695">
                  <c:v>200</c:v>
                </c:pt>
                <c:pt idx="696">
                  <c:v>500</c:v>
                </c:pt>
                <c:pt idx="697">
                  <c:v>300</c:v>
                </c:pt>
                <c:pt idx="698">
                  <c:v>120</c:v>
                </c:pt>
                <c:pt idx="699">
                  <c:v>2000</c:v>
                </c:pt>
                <c:pt idx="700">
                  <c:v>60</c:v>
                </c:pt>
                <c:pt idx="701">
                  <c:v>600</c:v>
                </c:pt>
                <c:pt idx="702">
                  <c:v>100</c:v>
                </c:pt>
                <c:pt idx="703">
                  <c:v>90</c:v>
                </c:pt>
                <c:pt idx="704">
                  <c:v>50</c:v>
                </c:pt>
                <c:pt idx="705">
                  <c:v>100</c:v>
                </c:pt>
                <c:pt idx="706">
                  <c:v>500</c:v>
                </c:pt>
                <c:pt idx="707">
                  <c:v>900</c:v>
                </c:pt>
                <c:pt idx="708">
                  <c:v>1000</c:v>
                </c:pt>
                <c:pt idx="709">
                  <c:v>1500</c:v>
                </c:pt>
                <c:pt idx="710">
                  <c:v>1500</c:v>
                </c:pt>
                <c:pt idx="711">
                  <c:v>50</c:v>
                </c:pt>
                <c:pt idx="712">
                  <c:v>75</c:v>
                </c:pt>
                <c:pt idx="713">
                  <c:v>500</c:v>
                </c:pt>
                <c:pt idx="714">
                  <c:v>100</c:v>
                </c:pt>
                <c:pt idx="715">
                  <c:v>1200</c:v>
                </c:pt>
                <c:pt idx="716">
                  <c:v>500</c:v>
                </c:pt>
                <c:pt idx="717">
                  <c:v>75</c:v>
                </c:pt>
                <c:pt idx="718">
                  <c:v>60</c:v>
                </c:pt>
                <c:pt idx="719">
                  <c:v>1500</c:v>
                </c:pt>
                <c:pt idx="720">
                  <c:v>500</c:v>
                </c:pt>
                <c:pt idx="721">
                  <c:v>900</c:v>
                </c:pt>
                <c:pt idx="722">
                  <c:v>200</c:v>
                </c:pt>
                <c:pt idx="723">
                  <c:v>150</c:v>
                </c:pt>
                <c:pt idx="724">
                  <c:v>300</c:v>
                </c:pt>
                <c:pt idx="725">
                  <c:v>1200</c:v>
                </c:pt>
                <c:pt idx="726">
                  <c:v>900</c:v>
                </c:pt>
                <c:pt idx="727">
                  <c:v>150</c:v>
                </c:pt>
                <c:pt idx="728">
                  <c:v>1200</c:v>
                </c:pt>
                <c:pt idx="729">
                  <c:v>50</c:v>
                </c:pt>
                <c:pt idx="730">
                  <c:v>2000</c:v>
                </c:pt>
                <c:pt idx="731">
                  <c:v>1000</c:v>
                </c:pt>
                <c:pt idx="732">
                  <c:v>30</c:v>
                </c:pt>
                <c:pt idx="733">
                  <c:v>30</c:v>
                </c:pt>
                <c:pt idx="734">
                  <c:v>2000</c:v>
                </c:pt>
                <c:pt idx="735">
                  <c:v>100</c:v>
                </c:pt>
                <c:pt idx="736">
                  <c:v>50</c:v>
                </c:pt>
                <c:pt idx="737">
                  <c:v>100</c:v>
                </c:pt>
                <c:pt idx="738">
                  <c:v>25</c:v>
                </c:pt>
                <c:pt idx="739">
                  <c:v>200</c:v>
                </c:pt>
                <c:pt idx="740">
                  <c:v>300</c:v>
                </c:pt>
                <c:pt idx="741">
                  <c:v>2000</c:v>
                </c:pt>
                <c:pt idx="742">
                  <c:v>2000</c:v>
                </c:pt>
                <c:pt idx="743">
                  <c:v>25</c:v>
                </c:pt>
                <c:pt idx="744">
                  <c:v>100</c:v>
                </c:pt>
                <c:pt idx="745">
                  <c:v>90</c:v>
                </c:pt>
                <c:pt idx="746">
                  <c:v>30</c:v>
                </c:pt>
                <c:pt idx="747">
                  <c:v>150</c:v>
                </c:pt>
                <c:pt idx="748">
                  <c:v>30</c:v>
                </c:pt>
                <c:pt idx="749">
                  <c:v>75</c:v>
                </c:pt>
                <c:pt idx="750">
                  <c:v>50</c:v>
                </c:pt>
                <c:pt idx="751">
                  <c:v>100</c:v>
                </c:pt>
                <c:pt idx="752">
                  <c:v>30</c:v>
                </c:pt>
                <c:pt idx="753">
                  <c:v>100</c:v>
                </c:pt>
                <c:pt idx="754">
                  <c:v>75</c:v>
                </c:pt>
                <c:pt idx="755">
                  <c:v>1200</c:v>
                </c:pt>
                <c:pt idx="756">
                  <c:v>1200</c:v>
                </c:pt>
                <c:pt idx="757">
                  <c:v>100</c:v>
                </c:pt>
                <c:pt idx="758">
                  <c:v>100</c:v>
                </c:pt>
                <c:pt idx="759">
                  <c:v>500</c:v>
                </c:pt>
                <c:pt idx="760">
                  <c:v>500</c:v>
                </c:pt>
                <c:pt idx="761">
                  <c:v>50</c:v>
                </c:pt>
                <c:pt idx="762">
                  <c:v>50</c:v>
                </c:pt>
                <c:pt idx="763">
                  <c:v>25</c:v>
                </c:pt>
                <c:pt idx="764">
                  <c:v>200</c:v>
                </c:pt>
                <c:pt idx="765">
                  <c:v>900</c:v>
                </c:pt>
                <c:pt idx="766">
                  <c:v>75</c:v>
                </c:pt>
                <c:pt idx="767">
                  <c:v>75</c:v>
                </c:pt>
                <c:pt idx="768">
                  <c:v>120</c:v>
                </c:pt>
                <c:pt idx="769">
                  <c:v>50</c:v>
                </c:pt>
                <c:pt idx="770">
                  <c:v>50</c:v>
                </c:pt>
                <c:pt idx="771">
                  <c:v>30</c:v>
                </c:pt>
                <c:pt idx="772">
                  <c:v>2000</c:v>
                </c:pt>
                <c:pt idx="773">
                  <c:v>50</c:v>
                </c:pt>
                <c:pt idx="774">
                  <c:v>100</c:v>
                </c:pt>
                <c:pt idx="775">
                  <c:v>90</c:v>
                </c:pt>
                <c:pt idx="776">
                  <c:v>150</c:v>
                </c:pt>
                <c:pt idx="777">
                  <c:v>100</c:v>
                </c:pt>
                <c:pt idx="778">
                  <c:v>1000</c:v>
                </c:pt>
                <c:pt idx="779">
                  <c:v>50</c:v>
                </c:pt>
                <c:pt idx="780">
                  <c:v>500</c:v>
                </c:pt>
                <c:pt idx="781">
                  <c:v>900</c:v>
                </c:pt>
                <c:pt idx="782">
                  <c:v>300</c:v>
                </c:pt>
                <c:pt idx="783">
                  <c:v>500</c:v>
                </c:pt>
                <c:pt idx="784">
                  <c:v>200</c:v>
                </c:pt>
                <c:pt idx="785">
                  <c:v>100</c:v>
                </c:pt>
                <c:pt idx="786">
                  <c:v>25</c:v>
                </c:pt>
                <c:pt idx="787">
                  <c:v>900</c:v>
                </c:pt>
                <c:pt idx="788">
                  <c:v>2000</c:v>
                </c:pt>
                <c:pt idx="789">
                  <c:v>25</c:v>
                </c:pt>
                <c:pt idx="790">
                  <c:v>25</c:v>
                </c:pt>
                <c:pt idx="791">
                  <c:v>50</c:v>
                </c:pt>
                <c:pt idx="792">
                  <c:v>30</c:v>
                </c:pt>
                <c:pt idx="793">
                  <c:v>300</c:v>
                </c:pt>
                <c:pt idx="794">
                  <c:v>300</c:v>
                </c:pt>
                <c:pt idx="795">
                  <c:v>120</c:v>
                </c:pt>
                <c:pt idx="796">
                  <c:v>75</c:v>
                </c:pt>
                <c:pt idx="797">
                  <c:v>50</c:v>
                </c:pt>
                <c:pt idx="798">
                  <c:v>100</c:v>
                </c:pt>
                <c:pt idx="799">
                  <c:v>1200</c:v>
                </c:pt>
                <c:pt idx="800">
                  <c:v>200</c:v>
                </c:pt>
                <c:pt idx="801">
                  <c:v>30</c:v>
                </c:pt>
                <c:pt idx="802">
                  <c:v>100</c:v>
                </c:pt>
                <c:pt idx="803">
                  <c:v>30</c:v>
                </c:pt>
                <c:pt idx="804">
                  <c:v>1500</c:v>
                </c:pt>
                <c:pt idx="805">
                  <c:v>900</c:v>
                </c:pt>
                <c:pt idx="806">
                  <c:v>200</c:v>
                </c:pt>
                <c:pt idx="807">
                  <c:v>2000</c:v>
                </c:pt>
                <c:pt idx="808">
                  <c:v>100</c:v>
                </c:pt>
                <c:pt idx="809">
                  <c:v>100</c:v>
                </c:pt>
                <c:pt idx="810">
                  <c:v>50</c:v>
                </c:pt>
                <c:pt idx="811">
                  <c:v>75</c:v>
                </c:pt>
                <c:pt idx="812">
                  <c:v>150</c:v>
                </c:pt>
                <c:pt idx="813">
                  <c:v>500</c:v>
                </c:pt>
                <c:pt idx="814">
                  <c:v>75</c:v>
                </c:pt>
                <c:pt idx="815">
                  <c:v>1000</c:v>
                </c:pt>
                <c:pt idx="816">
                  <c:v>200</c:v>
                </c:pt>
                <c:pt idx="817">
                  <c:v>500</c:v>
                </c:pt>
                <c:pt idx="818">
                  <c:v>100</c:v>
                </c:pt>
                <c:pt idx="819">
                  <c:v>200</c:v>
                </c:pt>
                <c:pt idx="820">
                  <c:v>300</c:v>
                </c:pt>
                <c:pt idx="821">
                  <c:v>150</c:v>
                </c:pt>
                <c:pt idx="822">
                  <c:v>100</c:v>
                </c:pt>
                <c:pt idx="823">
                  <c:v>120</c:v>
                </c:pt>
                <c:pt idx="824">
                  <c:v>25</c:v>
                </c:pt>
                <c:pt idx="825">
                  <c:v>300</c:v>
                </c:pt>
                <c:pt idx="826">
                  <c:v>900</c:v>
                </c:pt>
                <c:pt idx="827">
                  <c:v>1200</c:v>
                </c:pt>
                <c:pt idx="828">
                  <c:v>90</c:v>
                </c:pt>
                <c:pt idx="829">
                  <c:v>150</c:v>
                </c:pt>
                <c:pt idx="830">
                  <c:v>100</c:v>
                </c:pt>
                <c:pt idx="831">
                  <c:v>2000</c:v>
                </c:pt>
                <c:pt idx="832">
                  <c:v>200</c:v>
                </c:pt>
                <c:pt idx="833">
                  <c:v>60</c:v>
                </c:pt>
                <c:pt idx="834">
                  <c:v>200</c:v>
                </c:pt>
                <c:pt idx="835">
                  <c:v>50</c:v>
                </c:pt>
                <c:pt idx="836">
                  <c:v>90</c:v>
                </c:pt>
                <c:pt idx="837">
                  <c:v>600</c:v>
                </c:pt>
                <c:pt idx="838">
                  <c:v>1200</c:v>
                </c:pt>
                <c:pt idx="839">
                  <c:v>50</c:v>
                </c:pt>
                <c:pt idx="840">
                  <c:v>100</c:v>
                </c:pt>
                <c:pt idx="841">
                  <c:v>600</c:v>
                </c:pt>
                <c:pt idx="842">
                  <c:v>1500</c:v>
                </c:pt>
                <c:pt idx="843">
                  <c:v>150</c:v>
                </c:pt>
                <c:pt idx="844">
                  <c:v>500</c:v>
                </c:pt>
                <c:pt idx="845">
                  <c:v>50</c:v>
                </c:pt>
                <c:pt idx="846">
                  <c:v>1200</c:v>
                </c:pt>
                <c:pt idx="847">
                  <c:v>75</c:v>
                </c:pt>
                <c:pt idx="848">
                  <c:v>50</c:v>
                </c:pt>
                <c:pt idx="849">
                  <c:v>1000</c:v>
                </c:pt>
                <c:pt idx="850">
                  <c:v>50</c:v>
                </c:pt>
                <c:pt idx="851">
                  <c:v>300</c:v>
                </c:pt>
                <c:pt idx="852">
                  <c:v>1000</c:v>
                </c:pt>
                <c:pt idx="853">
                  <c:v>50</c:v>
                </c:pt>
                <c:pt idx="854">
                  <c:v>25</c:v>
                </c:pt>
                <c:pt idx="855">
                  <c:v>120</c:v>
                </c:pt>
                <c:pt idx="856">
                  <c:v>50</c:v>
                </c:pt>
                <c:pt idx="857">
                  <c:v>100</c:v>
                </c:pt>
                <c:pt idx="858">
                  <c:v>1500</c:v>
                </c:pt>
                <c:pt idx="859">
                  <c:v>200</c:v>
                </c:pt>
                <c:pt idx="860">
                  <c:v>90</c:v>
                </c:pt>
                <c:pt idx="861">
                  <c:v>1200</c:v>
                </c:pt>
                <c:pt idx="862">
                  <c:v>50</c:v>
                </c:pt>
                <c:pt idx="863">
                  <c:v>500</c:v>
                </c:pt>
                <c:pt idx="864">
                  <c:v>300</c:v>
                </c:pt>
                <c:pt idx="865">
                  <c:v>50</c:v>
                </c:pt>
                <c:pt idx="866">
                  <c:v>500</c:v>
                </c:pt>
                <c:pt idx="867">
                  <c:v>300</c:v>
                </c:pt>
                <c:pt idx="868">
                  <c:v>1500</c:v>
                </c:pt>
                <c:pt idx="869">
                  <c:v>120</c:v>
                </c:pt>
                <c:pt idx="870">
                  <c:v>60</c:v>
                </c:pt>
                <c:pt idx="871">
                  <c:v>75</c:v>
                </c:pt>
                <c:pt idx="872">
                  <c:v>100</c:v>
                </c:pt>
                <c:pt idx="873">
                  <c:v>30</c:v>
                </c:pt>
                <c:pt idx="874">
                  <c:v>2000</c:v>
                </c:pt>
                <c:pt idx="875">
                  <c:v>120</c:v>
                </c:pt>
                <c:pt idx="876">
                  <c:v>25</c:v>
                </c:pt>
                <c:pt idx="877">
                  <c:v>30</c:v>
                </c:pt>
                <c:pt idx="878">
                  <c:v>30</c:v>
                </c:pt>
                <c:pt idx="879">
                  <c:v>1000</c:v>
                </c:pt>
                <c:pt idx="880">
                  <c:v>300</c:v>
                </c:pt>
                <c:pt idx="881">
                  <c:v>50</c:v>
                </c:pt>
                <c:pt idx="882">
                  <c:v>500</c:v>
                </c:pt>
                <c:pt idx="883">
                  <c:v>60</c:v>
                </c:pt>
                <c:pt idx="884">
                  <c:v>120</c:v>
                </c:pt>
                <c:pt idx="885">
                  <c:v>900</c:v>
                </c:pt>
                <c:pt idx="886">
                  <c:v>100</c:v>
                </c:pt>
                <c:pt idx="887">
                  <c:v>100</c:v>
                </c:pt>
                <c:pt idx="888">
                  <c:v>50</c:v>
                </c:pt>
                <c:pt idx="889">
                  <c:v>50</c:v>
                </c:pt>
                <c:pt idx="890">
                  <c:v>900</c:v>
                </c:pt>
                <c:pt idx="891">
                  <c:v>50</c:v>
                </c:pt>
                <c:pt idx="892">
                  <c:v>50</c:v>
                </c:pt>
                <c:pt idx="893">
                  <c:v>30</c:v>
                </c:pt>
                <c:pt idx="894">
                  <c:v>120</c:v>
                </c:pt>
                <c:pt idx="895">
                  <c:v>50</c:v>
                </c:pt>
                <c:pt idx="896">
                  <c:v>100</c:v>
                </c:pt>
                <c:pt idx="897">
                  <c:v>90</c:v>
                </c:pt>
                <c:pt idx="898">
                  <c:v>600</c:v>
                </c:pt>
                <c:pt idx="899">
                  <c:v>60</c:v>
                </c:pt>
                <c:pt idx="900">
                  <c:v>30</c:v>
                </c:pt>
                <c:pt idx="901">
                  <c:v>50</c:v>
                </c:pt>
                <c:pt idx="902">
                  <c:v>200</c:v>
                </c:pt>
                <c:pt idx="903">
                  <c:v>500</c:v>
                </c:pt>
                <c:pt idx="904">
                  <c:v>300</c:v>
                </c:pt>
                <c:pt idx="905">
                  <c:v>50</c:v>
                </c:pt>
                <c:pt idx="906">
                  <c:v>25</c:v>
                </c:pt>
                <c:pt idx="907">
                  <c:v>1200</c:v>
                </c:pt>
                <c:pt idx="908">
                  <c:v>300</c:v>
                </c:pt>
                <c:pt idx="909">
                  <c:v>150</c:v>
                </c:pt>
                <c:pt idx="910">
                  <c:v>900</c:v>
                </c:pt>
                <c:pt idx="911">
                  <c:v>150</c:v>
                </c:pt>
                <c:pt idx="912">
                  <c:v>90</c:v>
                </c:pt>
                <c:pt idx="913">
                  <c:v>500</c:v>
                </c:pt>
                <c:pt idx="914">
                  <c:v>90</c:v>
                </c:pt>
                <c:pt idx="915">
                  <c:v>50</c:v>
                </c:pt>
                <c:pt idx="916">
                  <c:v>200</c:v>
                </c:pt>
                <c:pt idx="917">
                  <c:v>90</c:v>
                </c:pt>
                <c:pt idx="918">
                  <c:v>50</c:v>
                </c:pt>
                <c:pt idx="919">
                  <c:v>75</c:v>
                </c:pt>
                <c:pt idx="920">
                  <c:v>75</c:v>
                </c:pt>
                <c:pt idx="921">
                  <c:v>50</c:v>
                </c:pt>
                <c:pt idx="922">
                  <c:v>900</c:v>
                </c:pt>
                <c:pt idx="923">
                  <c:v>100</c:v>
                </c:pt>
                <c:pt idx="924">
                  <c:v>300</c:v>
                </c:pt>
                <c:pt idx="925">
                  <c:v>30</c:v>
                </c:pt>
                <c:pt idx="926">
                  <c:v>2000</c:v>
                </c:pt>
                <c:pt idx="927">
                  <c:v>1200</c:v>
                </c:pt>
                <c:pt idx="928">
                  <c:v>75</c:v>
                </c:pt>
                <c:pt idx="929">
                  <c:v>200</c:v>
                </c:pt>
                <c:pt idx="930">
                  <c:v>120</c:v>
                </c:pt>
                <c:pt idx="931">
                  <c:v>100</c:v>
                </c:pt>
                <c:pt idx="932">
                  <c:v>30</c:v>
                </c:pt>
                <c:pt idx="933">
                  <c:v>500</c:v>
                </c:pt>
                <c:pt idx="934">
                  <c:v>50</c:v>
                </c:pt>
                <c:pt idx="935">
                  <c:v>200</c:v>
                </c:pt>
                <c:pt idx="936">
                  <c:v>500</c:v>
                </c:pt>
                <c:pt idx="937">
                  <c:v>200</c:v>
                </c:pt>
                <c:pt idx="938">
                  <c:v>300</c:v>
                </c:pt>
                <c:pt idx="939">
                  <c:v>30</c:v>
                </c:pt>
                <c:pt idx="940">
                  <c:v>50</c:v>
                </c:pt>
                <c:pt idx="941">
                  <c:v>1500</c:v>
                </c:pt>
                <c:pt idx="942">
                  <c:v>1200</c:v>
                </c:pt>
                <c:pt idx="943">
                  <c:v>50</c:v>
                </c:pt>
                <c:pt idx="944">
                  <c:v>25</c:v>
                </c:pt>
                <c:pt idx="945">
                  <c:v>2000</c:v>
                </c:pt>
                <c:pt idx="946">
                  <c:v>300</c:v>
                </c:pt>
                <c:pt idx="947">
                  <c:v>75</c:v>
                </c:pt>
                <c:pt idx="948">
                  <c:v>50</c:v>
                </c:pt>
                <c:pt idx="949">
                  <c:v>900</c:v>
                </c:pt>
                <c:pt idx="950">
                  <c:v>100</c:v>
                </c:pt>
                <c:pt idx="951">
                  <c:v>25</c:v>
                </c:pt>
                <c:pt idx="952">
                  <c:v>90</c:v>
                </c:pt>
                <c:pt idx="953">
                  <c:v>900</c:v>
                </c:pt>
                <c:pt idx="954">
                  <c:v>25</c:v>
                </c:pt>
                <c:pt idx="955">
                  <c:v>1500</c:v>
                </c:pt>
                <c:pt idx="956">
                  <c:v>120</c:v>
                </c:pt>
                <c:pt idx="957">
                  <c:v>50</c:v>
                </c:pt>
                <c:pt idx="958">
                  <c:v>60</c:v>
                </c:pt>
                <c:pt idx="959">
                  <c:v>60</c:v>
                </c:pt>
                <c:pt idx="960">
                  <c:v>200</c:v>
                </c:pt>
                <c:pt idx="961">
                  <c:v>60</c:v>
                </c:pt>
                <c:pt idx="962">
                  <c:v>50</c:v>
                </c:pt>
                <c:pt idx="963">
                  <c:v>900</c:v>
                </c:pt>
                <c:pt idx="964">
                  <c:v>200</c:v>
                </c:pt>
                <c:pt idx="965">
                  <c:v>1000</c:v>
                </c:pt>
                <c:pt idx="966">
                  <c:v>25</c:v>
                </c:pt>
                <c:pt idx="967">
                  <c:v>900</c:v>
                </c:pt>
                <c:pt idx="968">
                  <c:v>900</c:v>
                </c:pt>
                <c:pt idx="969">
                  <c:v>2000</c:v>
                </c:pt>
                <c:pt idx="970">
                  <c:v>200</c:v>
                </c:pt>
                <c:pt idx="971">
                  <c:v>100</c:v>
                </c:pt>
                <c:pt idx="972">
                  <c:v>50</c:v>
                </c:pt>
                <c:pt idx="973">
                  <c:v>30</c:v>
                </c:pt>
                <c:pt idx="974">
                  <c:v>200</c:v>
                </c:pt>
                <c:pt idx="975">
                  <c:v>600</c:v>
                </c:pt>
                <c:pt idx="976">
                  <c:v>75</c:v>
                </c:pt>
                <c:pt idx="977">
                  <c:v>150</c:v>
                </c:pt>
                <c:pt idx="978">
                  <c:v>25</c:v>
                </c:pt>
                <c:pt idx="979">
                  <c:v>75</c:v>
                </c:pt>
                <c:pt idx="980">
                  <c:v>60</c:v>
                </c:pt>
                <c:pt idx="981">
                  <c:v>90</c:v>
                </c:pt>
                <c:pt idx="982">
                  <c:v>300</c:v>
                </c:pt>
                <c:pt idx="983">
                  <c:v>500</c:v>
                </c:pt>
                <c:pt idx="984">
                  <c:v>50</c:v>
                </c:pt>
                <c:pt idx="985">
                  <c:v>1000</c:v>
                </c:pt>
                <c:pt idx="986">
                  <c:v>900</c:v>
                </c:pt>
                <c:pt idx="987">
                  <c:v>75</c:v>
                </c:pt>
                <c:pt idx="988">
                  <c:v>25</c:v>
                </c:pt>
                <c:pt idx="989">
                  <c:v>1000</c:v>
                </c:pt>
                <c:pt idx="990">
                  <c:v>100</c:v>
                </c:pt>
                <c:pt idx="991">
                  <c:v>60</c:v>
                </c:pt>
                <c:pt idx="992">
                  <c:v>150</c:v>
                </c:pt>
                <c:pt idx="993">
                  <c:v>1000</c:v>
                </c:pt>
                <c:pt idx="994">
                  <c:v>30</c:v>
                </c:pt>
                <c:pt idx="995">
                  <c:v>50</c:v>
                </c:pt>
                <c:pt idx="996">
                  <c:v>90</c:v>
                </c:pt>
                <c:pt idx="997">
                  <c:v>100</c:v>
                </c:pt>
                <c:pt idx="998">
                  <c:v>150</c:v>
                </c:pt>
                <c:pt idx="999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98-448F-A8EC-5EC5F9E2D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8575280"/>
        <c:axId val="1578575696"/>
      </c:lineChart>
      <c:catAx>
        <c:axId val="1578575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575696"/>
        <c:crosses val="autoZero"/>
        <c:auto val="1"/>
        <c:lblAlgn val="ctr"/>
        <c:lblOffset val="100"/>
        <c:noMultiLvlLbl val="0"/>
      </c:catAx>
      <c:valAx>
        <c:axId val="157857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575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project.xlsx]L...retail_sales_dataset  PROJE!PivotTable5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'L...retail_sales_dataset  PROJE'!$Z$2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'L...retail_sales_dataset  PROJE'!$Y$3:$Y$1003</c:f>
              <c:strCach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strCache>
            </c:strRef>
          </c:cat>
          <c:val>
            <c:numRef>
              <c:f>'L...retail_sales_dataset  PROJE'!$Z$3:$Z$1003</c:f>
              <c:numCache>
                <c:formatCode>General</c:formatCode>
                <c:ptCount val="1000"/>
                <c:pt idx="0">
                  <c:v>150</c:v>
                </c:pt>
                <c:pt idx="1">
                  <c:v>1000</c:v>
                </c:pt>
                <c:pt idx="2">
                  <c:v>30</c:v>
                </c:pt>
                <c:pt idx="3">
                  <c:v>500</c:v>
                </c:pt>
                <c:pt idx="4">
                  <c:v>100</c:v>
                </c:pt>
                <c:pt idx="5">
                  <c:v>30</c:v>
                </c:pt>
                <c:pt idx="6">
                  <c:v>50</c:v>
                </c:pt>
                <c:pt idx="7">
                  <c:v>100</c:v>
                </c:pt>
                <c:pt idx="8">
                  <c:v>600</c:v>
                </c:pt>
                <c:pt idx="9">
                  <c:v>200</c:v>
                </c:pt>
                <c:pt idx="10">
                  <c:v>100</c:v>
                </c:pt>
                <c:pt idx="11">
                  <c:v>75</c:v>
                </c:pt>
                <c:pt idx="12">
                  <c:v>1500</c:v>
                </c:pt>
                <c:pt idx="13">
                  <c:v>120</c:v>
                </c:pt>
                <c:pt idx="14">
                  <c:v>2000</c:v>
                </c:pt>
                <c:pt idx="15">
                  <c:v>1500</c:v>
                </c:pt>
                <c:pt idx="16">
                  <c:v>100</c:v>
                </c:pt>
                <c:pt idx="17">
                  <c:v>50</c:v>
                </c:pt>
                <c:pt idx="18">
                  <c:v>50</c:v>
                </c:pt>
                <c:pt idx="19">
                  <c:v>900</c:v>
                </c:pt>
                <c:pt idx="20">
                  <c:v>500</c:v>
                </c:pt>
                <c:pt idx="21">
                  <c:v>100</c:v>
                </c:pt>
                <c:pt idx="22">
                  <c:v>120</c:v>
                </c:pt>
                <c:pt idx="23">
                  <c:v>300</c:v>
                </c:pt>
                <c:pt idx="24">
                  <c:v>50</c:v>
                </c:pt>
                <c:pt idx="25">
                  <c:v>1000</c:v>
                </c:pt>
                <c:pt idx="26">
                  <c:v>50</c:v>
                </c:pt>
                <c:pt idx="27">
                  <c:v>500</c:v>
                </c:pt>
                <c:pt idx="28">
                  <c:v>30</c:v>
                </c:pt>
                <c:pt idx="29">
                  <c:v>900</c:v>
                </c:pt>
                <c:pt idx="30">
                  <c:v>1200</c:v>
                </c:pt>
                <c:pt idx="31">
                  <c:v>90</c:v>
                </c:pt>
                <c:pt idx="32">
                  <c:v>100</c:v>
                </c:pt>
                <c:pt idx="33">
                  <c:v>150</c:v>
                </c:pt>
                <c:pt idx="34">
                  <c:v>900</c:v>
                </c:pt>
                <c:pt idx="35">
                  <c:v>900</c:v>
                </c:pt>
                <c:pt idx="36">
                  <c:v>75</c:v>
                </c:pt>
                <c:pt idx="37">
                  <c:v>200</c:v>
                </c:pt>
                <c:pt idx="38">
                  <c:v>120</c:v>
                </c:pt>
                <c:pt idx="39">
                  <c:v>50</c:v>
                </c:pt>
                <c:pt idx="40">
                  <c:v>50</c:v>
                </c:pt>
                <c:pt idx="41">
                  <c:v>900</c:v>
                </c:pt>
                <c:pt idx="42">
                  <c:v>300</c:v>
                </c:pt>
                <c:pt idx="43">
                  <c:v>25</c:v>
                </c:pt>
                <c:pt idx="44">
                  <c:v>30</c:v>
                </c:pt>
                <c:pt idx="45">
                  <c:v>1200</c:v>
                </c:pt>
                <c:pt idx="46">
                  <c:v>1500</c:v>
                </c:pt>
                <c:pt idx="47">
                  <c:v>900</c:v>
                </c:pt>
                <c:pt idx="48">
                  <c:v>1000</c:v>
                </c:pt>
                <c:pt idx="49">
                  <c:v>75</c:v>
                </c:pt>
                <c:pt idx="50">
                  <c:v>75</c:v>
                </c:pt>
                <c:pt idx="51">
                  <c:v>300</c:v>
                </c:pt>
                <c:pt idx="52">
                  <c:v>100</c:v>
                </c:pt>
                <c:pt idx="53">
                  <c:v>1500</c:v>
                </c:pt>
                <c:pt idx="54">
                  <c:v>120</c:v>
                </c:pt>
                <c:pt idx="55">
                  <c:v>900</c:v>
                </c:pt>
                <c:pt idx="56">
                  <c:v>30</c:v>
                </c:pt>
                <c:pt idx="57">
                  <c:v>1200</c:v>
                </c:pt>
                <c:pt idx="58">
                  <c:v>50</c:v>
                </c:pt>
                <c:pt idx="59">
                  <c:v>150</c:v>
                </c:pt>
                <c:pt idx="60">
                  <c:v>200</c:v>
                </c:pt>
                <c:pt idx="61">
                  <c:v>100</c:v>
                </c:pt>
                <c:pt idx="62">
                  <c:v>50</c:v>
                </c:pt>
                <c:pt idx="63">
                  <c:v>100</c:v>
                </c:pt>
                <c:pt idx="64">
                  <c:v>2000</c:v>
                </c:pt>
                <c:pt idx="65">
                  <c:v>30</c:v>
                </c:pt>
                <c:pt idx="66">
                  <c:v>1200</c:v>
                </c:pt>
                <c:pt idx="67">
                  <c:v>300</c:v>
                </c:pt>
                <c:pt idx="68">
                  <c:v>75</c:v>
                </c:pt>
                <c:pt idx="69">
                  <c:v>300</c:v>
                </c:pt>
                <c:pt idx="70">
                  <c:v>100</c:v>
                </c:pt>
                <c:pt idx="71">
                  <c:v>2000</c:v>
                </c:pt>
                <c:pt idx="72">
                  <c:v>90</c:v>
                </c:pt>
                <c:pt idx="73">
                  <c:v>2000</c:v>
                </c:pt>
                <c:pt idx="74">
                  <c:v>200</c:v>
                </c:pt>
                <c:pt idx="75">
                  <c:v>100</c:v>
                </c:pt>
                <c:pt idx="76">
                  <c:v>100</c:v>
                </c:pt>
                <c:pt idx="77">
                  <c:v>1500</c:v>
                </c:pt>
                <c:pt idx="78">
                  <c:v>300</c:v>
                </c:pt>
                <c:pt idx="79">
                  <c:v>60</c:v>
                </c:pt>
                <c:pt idx="80">
                  <c:v>50</c:v>
                </c:pt>
                <c:pt idx="81">
                  <c:v>200</c:v>
                </c:pt>
                <c:pt idx="82">
                  <c:v>100</c:v>
                </c:pt>
                <c:pt idx="83">
                  <c:v>90</c:v>
                </c:pt>
                <c:pt idx="84">
                  <c:v>150</c:v>
                </c:pt>
                <c:pt idx="85">
                  <c:v>90</c:v>
                </c:pt>
                <c:pt idx="86">
                  <c:v>100</c:v>
                </c:pt>
                <c:pt idx="87">
                  <c:v>500</c:v>
                </c:pt>
                <c:pt idx="88">
                  <c:v>2000</c:v>
                </c:pt>
                <c:pt idx="89">
                  <c:v>30</c:v>
                </c:pt>
                <c:pt idx="90">
                  <c:v>500</c:v>
                </c:pt>
                <c:pt idx="91">
                  <c:v>120</c:v>
                </c:pt>
                <c:pt idx="92">
                  <c:v>2000</c:v>
                </c:pt>
                <c:pt idx="93">
                  <c:v>1000</c:v>
                </c:pt>
                <c:pt idx="94">
                  <c:v>60</c:v>
                </c:pt>
                <c:pt idx="95">
                  <c:v>600</c:v>
                </c:pt>
                <c:pt idx="96">
                  <c:v>1000</c:v>
                </c:pt>
                <c:pt idx="97">
                  <c:v>100</c:v>
                </c:pt>
                <c:pt idx="98">
                  <c:v>1200</c:v>
                </c:pt>
                <c:pt idx="99">
                  <c:v>30</c:v>
                </c:pt>
                <c:pt idx="100">
                  <c:v>600</c:v>
                </c:pt>
                <c:pt idx="101">
                  <c:v>50</c:v>
                </c:pt>
                <c:pt idx="102">
                  <c:v>25</c:v>
                </c:pt>
                <c:pt idx="103">
                  <c:v>1000</c:v>
                </c:pt>
                <c:pt idx="104">
                  <c:v>500</c:v>
                </c:pt>
                <c:pt idx="105">
                  <c:v>50</c:v>
                </c:pt>
                <c:pt idx="106">
                  <c:v>1200</c:v>
                </c:pt>
                <c:pt idx="107">
                  <c:v>75</c:v>
                </c:pt>
                <c:pt idx="108">
                  <c:v>2000</c:v>
                </c:pt>
                <c:pt idx="109">
                  <c:v>900</c:v>
                </c:pt>
                <c:pt idx="110">
                  <c:v>1500</c:v>
                </c:pt>
                <c:pt idx="111">
                  <c:v>1500</c:v>
                </c:pt>
                <c:pt idx="112">
                  <c:v>50</c:v>
                </c:pt>
                <c:pt idx="113">
                  <c:v>100</c:v>
                </c:pt>
                <c:pt idx="114">
                  <c:v>1500</c:v>
                </c:pt>
                <c:pt idx="115">
                  <c:v>30</c:v>
                </c:pt>
                <c:pt idx="116">
                  <c:v>1000</c:v>
                </c:pt>
                <c:pt idx="117">
                  <c:v>2000</c:v>
                </c:pt>
                <c:pt idx="118">
                  <c:v>150</c:v>
                </c:pt>
                <c:pt idx="119">
                  <c:v>50</c:v>
                </c:pt>
                <c:pt idx="120">
                  <c:v>200</c:v>
                </c:pt>
                <c:pt idx="121">
                  <c:v>120</c:v>
                </c:pt>
                <c:pt idx="122">
                  <c:v>60</c:v>
                </c:pt>
                <c:pt idx="123">
                  <c:v>2000</c:v>
                </c:pt>
                <c:pt idx="124">
                  <c:v>100</c:v>
                </c:pt>
                <c:pt idx="125">
                  <c:v>90</c:v>
                </c:pt>
                <c:pt idx="126">
                  <c:v>50</c:v>
                </c:pt>
                <c:pt idx="127">
                  <c:v>500</c:v>
                </c:pt>
                <c:pt idx="128">
                  <c:v>600</c:v>
                </c:pt>
                <c:pt idx="129">
                  <c:v>500</c:v>
                </c:pt>
                <c:pt idx="130">
                  <c:v>600</c:v>
                </c:pt>
                <c:pt idx="131">
                  <c:v>200</c:v>
                </c:pt>
                <c:pt idx="132">
                  <c:v>900</c:v>
                </c:pt>
                <c:pt idx="133">
                  <c:v>50</c:v>
                </c:pt>
                <c:pt idx="134">
                  <c:v>50</c:v>
                </c:pt>
                <c:pt idx="135">
                  <c:v>600</c:v>
                </c:pt>
                <c:pt idx="136">
                  <c:v>1000</c:v>
                </c:pt>
                <c:pt idx="137">
                  <c:v>200</c:v>
                </c:pt>
                <c:pt idx="138">
                  <c:v>2000</c:v>
                </c:pt>
                <c:pt idx="139">
                  <c:v>30</c:v>
                </c:pt>
                <c:pt idx="140">
                  <c:v>50</c:v>
                </c:pt>
                <c:pt idx="141">
                  <c:v>1200</c:v>
                </c:pt>
                <c:pt idx="142">
                  <c:v>50</c:v>
                </c:pt>
                <c:pt idx="143">
                  <c:v>1500</c:v>
                </c:pt>
                <c:pt idx="144">
                  <c:v>75</c:v>
                </c:pt>
                <c:pt idx="145">
                  <c:v>200</c:v>
                </c:pt>
                <c:pt idx="146">
                  <c:v>300</c:v>
                </c:pt>
                <c:pt idx="147">
                  <c:v>60</c:v>
                </c:pt>
                <c:pt idx="148">
                  <c:v>75</c:v>
                </c:pt>
                <c:pt idx="149">
                  <c:v>120</c:v>
                </c:pt>
                <c:pt idx="150">
                  <c:v>50</c:v>
                </c:pt>
                <c:pt idx="151">
                  <c:v>2000</c:v>
                </c:pt>
                <c:pt idx="152">
                  <c:v>1000</c:v>
                </c:pt>
                <c:pt idx="153">
                  <c:v>900</c:v>
                </c:pt>
                <c:pt idx="154">
                  <c:v>2000</c:v>
                </c:pt>
                <c:pt idx="155">
                  <c:v>100</c:v>
                </c:pt>
                <c:pt idx="156">
                  <c:v>2000</c:v>
                </c:pt>
                <c:pt idx="157">
                  <c:v>600</c:v>
                </c:pt>
                <c:pt idx="158">
                  <c:v>200</c:v>
                </c:pt>
                <c:pt idx="159">
                  <c:v>100</c:v>
                </c:pt>
                <c:pt idx="160">
                  <c:v>1000</c:v>
                </c:pt>
                <c:pt idx="161">
                  <c:v>60</c:v>
                </c:pt>
                <c:pt idx="162">
                  <c:v>150</c:v>
                </c:pt>
                <c:pt idx="163">
                  <c:v>1500</c:v>
                </c:pt>
                <c:pt idx="164">
                  <c:v>1200</c:v>
                </c:pt>
                <c:pt idx="165">
                  <c:v>2000</c:v>
                </c:pt>
                <c:pt idx="166">
                  <c:v>150</c:v>
                </c:pt>
                <c:pt idx="167">
                  <c:v>300</c:v>
                </c:pt>
                <c:pt idx="168">
                  <c:v>1500</c:v>
                </c:pt>
                <c:pt idx="169">
                  <c:v>50</c:v>
                </c:pt>
                <c:pt idx="170">
                  <c:v>900</c:v>
                </c:pt>
                <c:pt idx="171">
                  <c:v>50</c:v>
                </c:pt>
                <c:pt idx="172">
                  <c:v>120</c:v>
                </c:pt>
                <c:pt idx="173">
                  <c:v>300</c:v>
                </c:pt>
                <c:pt idx="174">
                  <c:v>100</c:v>
                </c:pt>
                <c:pt idx="175">
                  <c:v>100</c:v>
                </c:pt>
                <c:pt idx="176">
                  <c:v>100</c:v>
                </c:pt>
                <c:pt idx="177">
                  <c:v>60</c:v>
                </c:pt>
                <c:pt idx="178">
                  <c:v>300</c:v>
                </c:pt>
                <c:pt idx="179">
                  <c:v>900</c:v>
                </c:pt>
                <c:pt idx="180">
                  <c:v>1200</c:v>
                </c:pt>
                <c:pt idx="181">
                  <c:v>120</c:v>
                </c:pt>
                <c:pt idx="182">
                  <c:v>900</c:v>
                </c:pt>
                <c:pt idx="183">
                  <c:v>200</c:v>
                </c:pt>
                <c:pt idx="184">
                  <c:v>25</c:v>
                </c:pt>
                <c:pt idx="185">
                  <c:v>200</c:v>
                </c:pt>
                <c:pt idx="186">
                  <c:v>100</c:v>
                </c:pt>
                <c:pt idx="187">
                  <c:v>75</c:v>
                </c:pt>
                <c:pt idx="188">
                  <c:v>50</c:v>
                </c:pt>
                <c:pt idx="189">
                  <c:v>90</c:v>
                </c:pt>
                <c:pt idx="190">
                  <c:v>25</c:v>
                </c:pt>
                <c:pt idx="191">
                  <c:v>100</c:v>
                </c:pt>
                <c:pt idx="192">
                  <c:v>1500</c:v>
                </c:pt>
                <c:pt idx="193">
                  <c:v>200</c:v>
                </c:pt>
                <c:pt idx="194">
                  <c:v>30</c:v>
                </c:pt>
                <c:pt idx="195">
                  <c:v>900</c:v>
                </c:pt>
                <c:pt idx="196">
                  <c:v>200</c:v>
                </c:pt>
                <c:pt idx="197">
                  <c:v>900</c:v>
                </c:pt>
                <c:pt idx="198">
                  <c:v>1500</c:v>
                </c:pt>
                <c:pt idx="199">
                  <c:v>150</c:v>
                </c:pt>
                <c:pt idx="200">
                  <c:v>25</c:v>
                </c:pt>
                <c:pt idx="201">
                  <c:v>1200</c:v>
                </c:pt>
                <c:pt idx="202">
                  <c:v>1000</c:v>
                </c:pt>
                <c:pt idx="203">
                  <c:v>25</c:v>
                </c:pt>
                <c:pt idx="204">
                  <c:v>25</c:v>
                </c:pt>
                <c:pt idx="205">
                  <c:v>25</c:v>
                </c:pt>
                <c:pt idx="206">
                  <c:v>50</c:v>
                </c:pt>
                <c:pt idx="207">
                  <c:v>200</c:v>
                </c:pt>
                <c:pt idx="208">
                  <c:v>200</c:v>
                </c:pt>
                <c:pt idx="209">
                  <c:v>200</c:v>
                </c:pt>
                <c:pt idx="210">
                  <c:v>1500</c:v>
                </c:pt>
                <c:pt idx="211">
                  <c:v>1500</c:v>
                </c:pt>
                <c:pt idx="212">
                  <c:v>1500</c:v>
                </c:pt>
                <c:pt idx="213">
                  <c:v>60</c:v>
                </c:pt>
                <c:pt idx="214">
                  <c:v>1500</c:v>
                </c:pt>
                <c:pt idx="215">
                  <c:v>100</c:v>
                </c:pt>
                <c:pt idx="216">
                  <c:v>200</c:v>
                </c:pt>
                <c:pt idx="217">
                  <c:v>90</c:v>
                </c:pt>
                <c:pt idx="218">
                  <c:v>90</c:v>
                </c:pt>
                <c:pt idx="219">
                  <c:v>500</c:v>
                </c:pt>
                <c:pt idx="220">
                  <c:v>600</c:v>
                </c:pt>
                <c:pt idx="221">
                  <c:v>120</c:v>
                </c:pt>
                <c:pt idx="222">
                  <c:v>25</c:v>
                </c:pt>
                <c:pt idx="223">
                  <c:v>50</c:v>
                </c:pt>
                <c:pt idx="224">
                  <c:v>100</c:v>
                </c:pt>
                <c:pt idx="225">
                  <c:v>50</c:v>
                </c:pt>
                <c:pt idx="226">
                  <c:v>100</c:v>
                </c:pt>
                <c:pt idx="227">
                  <c:v>60</c:v>
                </c:pt>
                <c:pt idx="228">
                  <c:v>90</c:v>
                </c:pt>
                <c:pt idx="229">
                  <c:v>25</c:v>
                </c:pt>
                <c:pt idx="230">
                  <c:v>150</c:v>
                </c:pt>
                <c:pt idx="231">
                  <c:v>25</c:v>
                </c:pt>
                <c:pt idx="232">
                  <c:v>600</c:v>
                </c:pt>
                <c:pt idx="233">
                  <c:v>50</c:v>
                </c:pt>
                <c:pt idx="234">
                  <c:v>1000</c:v>
                </c:pt>
                <c:pt idx="235">
                  <c:v>25</c:v>
                </c:pt>
                <c:pt idx="236">
                  <c:v>1000</c:v>
                </c:pt>
                <c:pt idx="237">
                  <c:v>500</c:v>
                </c:pt>
                <c:pt idx="238">
                  <c:v>1500</c:v>
                </c:pt>
                <c:pt idx="239">
                  <c:v>300</c:v>
                </c:pt>
                <c:pt idx="240">
                  <c:v>75</c:v>
                </c:pt>
                <c:pt idx="241">
                  <c:v>25</c:v>
                </c:pt>
                <c:pt idx="242">
                  <c:v>900</c:v>
                </c:pt>
                <c:pt idx="243">
                  <c:v>100</c:v>
                </c:pt>
                <c:pt idx="244">
                  <c:v>90</c:v>
                </c:pt>
                <c:pt idx="245">
                  <c:v>50</c:v>
                </c:pt>
                <c:pt idx="246">
                  <c:v>60</c:v>
                </c:pt>
                <c:pt idx="247">
                  <c:v>900</c:v>
                </c:pt>
                <c:pt idx="248">
                  <c:v>50</c:v>
                </c:pt>
                <c:pt idx="249">
                  <c:v>50</c:v>
                </c:pt>
                <c:pt idx="250">
                  <c:v>200</c:v>
                </c:pt>
                <c:pt idx="251">
                  <c:v>300</c:v>
                </c:pt>
                <c:pt idx="252">
                  <c:v>2000</c:v>
                </c:pt>
                <c:pt idx="253">
                  <c:v>500</c:v>
                </c:pt>
                <c:pt idx="254">
                  <c:v>30</c:v>
                </c:pt>
                <c:pt idx="255">
                  <c:v>1000</c:v>
                </c:pt>
                <c:pt idx="256">
                  <c:v>2000</c:v>
                </c:pt>
                <c:pt idx="257">
                  <c:v>50</c:v>
                </c:pt>
                <c:pt idx="258">
                  <c:v>200</c:v>
                </c:pt>
                <c:pt idx="259">
                  <c:v>60</c:v>
                </c:pt>
                <c:pt idx="260">
                  <c:v>50</c:v>
                </c:pt>
                <c:pt idx="261">
                  <c:v>120</c:v>
                </c:pt>
                <c:pt idx="262">
                  <c:v>60</c:v>
                </c:pt>
                <c:pt idx="263">
                  <c:v>900</c:v>
                </c:pt>
                <c:pt idx="264">
                  <c:v>900</c:v>
                </c:pt>
                <c:pt idx="265">
                  <c:v>60</c:v>
                </c:pt>
                <c:pt idx="266">
                  <c:v>90</c:v>
                </c:pt>
                <c:pt idx="267">
                  <c:v>30</c:v>
                </c:pt>
                <c:pt idx="268">
                  <c:v>2000</c:v>
                </c:pt>
                <c:pt idx="269">
                  <c:v>300</c:v>
                </c:pt>
                <c:pt idx="270">
                  <c:v>120</c:v>
                </c:pt>
                <c:pt idx="271">
                  <c:v>100</c:v>
                </c:pt>
                <c:pt idx="272">
                  <c:v>50</c:v>
                </c:pt>
                <c:pt idx="273">
                  <c:v>1000</c:v>
                </c:pt>
                <c:pt idx="274">
                  <c:v>1000</c:v>
                </c:pt>
                <c:pt idx="275">
                  <c:v>100</c:v>
                </c:pt>
                <c:pt idx="276">
                  <c:v>100</c:v>
                </c:pt>
                <c:pt idx="277">
                  <c:v>100</c:v>
                </c:pt>
                <c:pt idx="278">
                  <c:v>500</c:v>
                </c:pt>
                <c:pt idx="279">
                  <c:v>1500</c:v>
                </c:pt>
                <c:pt idx="280">
                  <c:v>2000</c:v>
                </c:pt>
                <c:pt idx="281">
                  <c:v>200</c:v>
                </c:pt>
                <c:pt idx="282">
                  <c:v>500</c:v>
                </c:pt>
                <c:pt idx="283">
                  <c:v>200</c:v>
                </c:pt>
                <c:pt idx="284">
                  <c:v>25</c:v>
                </c:pt>
                <c:pt idx="285">
                  <c:v>50</c:v>
                </c:pt>
                <c:pt idx="286">
                  <c:v>100</c:v>
                </c:pt>
                <c:pt idx="287">
                  <c:v>120</c:v>
                </c:pt>
                <c:pt idx="288">
                  <c:v>60</c:v>
                </c:pt>
                <c:pt idx="289">
                  <c:v>600</c:v>
                </c:pt>
                <c:pt idx="290">
                  <c:v>600</c:v>
                </c:pt>
                <c:pt idx="291">
                  <c:v>1200</c:v>
                </c:pt>
                <c:pt idx="292">
                  <c:v>90</c:v>
                </c:pt>
                <c:pt idx="293">
                  <c:v>90</c:v>
                </c:pt>
                <c:pt idx="294">
                  <c:v>900</c:v>
                </c:pt>
                <c:pt idx="295">
                  <c:v>1200</c:v>
                </c:pt>
                <c:pt idx="296">
                  <c:v>1000</c:v>
                </c:pt>
                <c:pt idx="297">
                  <c:v>1200</c:v>
                </c:pt>
                <c:pt idx="298">
                  <c:v>1000</c:v>
                </c:pt>
                <c:pt idx="299">
                  <c:v>200</c:v>
                </c:pt>
                <c:pt idx="300">
                  <c:v>120</c:v>
                </c:pt>
                <c:pt idx="301">
                  <c:v>600</c:v>
                </c:pt>
                <c:pt idx="302">
                  <c:v>90</c:v>
                </c:pt>
                <c:pt idx="303">
                  <c:v>60</c:v>
                </c:pt>
                <c:pt idx="304">
                  <c:v>30</c:v>
                </c:pt>
                <c:pt idx="305">
                  <c:v>50</c:v>
                </c:pt>
                <c:pt idx="306">
                  <c:v>50</c:v>
                </c:pt>
                <c:pt idx="307">
                  <c:v>1200</c:v>
                </c:pt>
                <c:pt idx="308">
                  <c:v>25</c:v>
                </c:pt>
                <c:pt idx="309">
                  <c:v>25</c:v>
                </c:pt>
                <c:pt idx="310">
                  <c:v>100</c:v>
                </c:pt>
                <c:pt idx="311">
                  <c:v>120</c:v>
                </c:pt>
                <c:pt idx="312">
                  <c:v>1500</c:v>
                </c:pt>
                <c:pt idx="313">
                  <c:v>120</c:v>
                </c:pt>
                <c:pt idx="314">
                  <c:v>60</c:v>
                </c:pt>
                <c:pt idx="315">
                  <c:v>50</c:v>
                </c:pt>
                <c:pt idx="316">
                  <c:v>90</c:v>
                </c:pt>
                <c:pt idx="317">
                  <c:v>25</c:v>
                </c:pt>
                <c:pt idx="318">
                  <c:v>500</c:v>
                </c:pt>
                <c:pt idx="319">
                  <c:v>1200</c:v>
                </c:pt>
                <c:pt idx="320">
                  <c:v>50</c:v>
                </c:pt>
                <c:pt idx="321">
                  <c:v>500</c:v>
                </c:pt>
                <c:pt idx="322">
                  <c:v>900</c:v>
                </c:pt>
                <c:pt idx="323">
                  <c:v>150</c:v>
                </c:pt>
                <c:pt idx="324">
                  <c:v>50</c:v>
                </c:pt>
                <c:pt idx="325">
                  <c:v>75</c:v>
                </c:pt>
                <c:pt idx="326">
                  <c:v>150</c:v>
                </c:pt>
                <c:pt idx="327">
                  <c:v>100</c:v>
                </c:pt>
                <c:pt idx="328">
                  <c:v>100</c:v>
                </c:pt>
                <c:pt idx="329">
                  <c:v>200</c:v>
                </c:pt>
                <c:pt idx="330">
                  <c:v>90</c:v>
                </c:pt>
                <c:pt idx="331">
                  <c:v>1200</c:v>
                </c:pt>
                <c:pt idx="332">
                  <c:v>1200</c:v>
                </c:pt>
                <c:pt idx="333">
                  <c:v>900</c:v>
                </c:pt>
                <c:pt idx="334">
                  <c:v>120</c:v>
                </c:pt>
                <c:pt idx="335">
                  <c:v>150</c:v>
                </c:pt>
                <c:pt idx="336">
                  <c:v>500</c:v>
                </c:pt>
                <c:pt idx="337">
                  <c:v>100</c:v>
                </c:pt>
                <c:pt idx="338">
                  <c:v>50</c:v>
                </c:pt>
                <c:pt idx="339">
                  <c:v>1200</c:v>
                </c:pt>
                <c:pt idx="340">
                  <c:v>200</c:v>
                </c:pt>
                <c:pt idx="341">
                  <c:v>2000</c:v>
                </c:pt>
                <c:pt idx="342">
                  <c:v>50</c:v>
                </c:pt>
                <c:pt idx="343">
                  <c:v>30</c:v>
                </c:pt>
                <c:pt idx="344">
                  <c:v>30</c:v>
                </c:pt>
                <c:pt idx="345">
                  <c:v>1000</c:v>
                </c:pt>
                <c:pt idx="346">
                  <c:v>25</c:v>
                </c:pt>
                <c:pt idx="347">
                  <c:v>600</c:v>
                </c:pt>
                <c:pt idx="348">
                  <c:v>50</c:v>
                </c:pt>
                <c:pt idx="349">
                  <c:v>75</c:v>
                </c:pt>
                <c:pt idx="350">
                  <c:v>90</c:v>
                </c:pt>
                <c:pt idx="351">
                  <c:v>1000</c:v>
                </c:pt>
                <c:pt idx="352">
                  <c:v>500</c:v>
                </c:pt>
                <c:pt idx="353">
                  <c:v>200</c:v>
                </c:pt>
                <c:pt idx="354">
                  <c:v>500</c:v>
                </c:pt>
                <c:pt idx="355">
                  <c:v>1500</c:v>
                </c:pt>
                <c:pt idx="356">
                  <c:v>75</c:v>
                </c:pt>
                <c:pt idx="357">
                  <c:v>300</c:v>
                </c:pt>
                <c:pt idx="358">
                  <c:v>50</c:v>
                </c:pt>
                <c:pt idx="359">
                  <c:v>100</c:v>
                </c:pt>
                <c:pt idx="360">
                  <c:v>1200</c:v>
                </c:pt>
                <c:pt idx="361">
                  <c:v>25</c:v>
                </c:pt>
                <c:pt idx="362">
                  <c:v>25</c:v>
                </c:pt>
                <c:pt idx="363">
                  <c:v>500</c:v>
                </c:pt>
                <c:pt idx="364">
                  <c:v>300</c:v>
                </c:pt>
                <c:pt idx="365">
                  <c:v>100</c:v>
                </c:pt>
                <c:pt idx="366">
                  <c:v>50</c:v>
                </c:pt>
                <c:pt idx="367">
                  <c:v>1200</c:v>
                </c:pt>
                <c:pt idx="368">
                  <c:v>1500</c:v>
                </c:pt>
                <c:pt idx="369">
                  <c:v>60</c:v>
                </c:pt>
                <c:pt idx="370">
                  <c:v>25</c:v>
                </c:pt>
                <c:pt idx="371">
                  <c:v>1500</c:v>
                </c:pt>
                <c:pt idx="372">
                  <c:v>600</c:v>
                </c:pt>
                <c:pt idx="373">
                  <c:v>75</c:v>
                </c:pt>
                <c:pt idx="374">
                  <c:v>50</c:v>
                </c:pt>
                <c:pt idx="375">
                  <c:v>30</c:v>
                </c:pt>
                <c:pt idx="376">
                  <c:v>200</c:v>
                </c:pt>
                <c:pt idx="377">
                  <c:v>300</c:v>
                </c:pt>
                <c:pt idx="378">
                  <c:v>25</c:v>
                </c:pt>
                <c:pt idx="379">
                  <c:v>600</c:v>
                </c:pt>
                <c:pt idx="380">
                  <c:v>100</c:v>
                </c:pt>
                <c:pt idx="381">
                  <c:v>1000</c:v>
                </c:pt>
                <c:pt idx="382">
                  <c:v>90</c:v>
                </c:pt>
                <c:pt idx="383">
                  <c:v>500</c:v>
                </c:pt>
                <c:pt idx="384">
                  <c:v>1500</c:v>
                </c:pt>
                <c:pt idx="385">
                  <c:v>600</c:v>
                </c:pt>
                <c:pt idx="386">
                  <c:v>30</c:v>
                </c:pt>
                <c:pt idx="387">
                  <c:v>25</c:v>
                </c:pt>
                <c:pt idx="388">
                  <c:v>50</c:v>
                </c:pt>
                <c:pt idx="389">
                  <c:v>100</c:v>
                </c:pt>
                <c:pt idx="390">
                  <c:v>50</c:v>
                </c:pt>
                <c:pt idx="391">
                  <c:v>600</c:v>
                </c:pt>
                <c:pt idx="392">
                  <c:v>1000</c:v>
                </c:pt>
                <c:pt idx="393">
                  <c:v>500</c:v>
                </c:pt>
                <c:pt idx="394">
                  <c:v>1000</c:v>
                </c:pt>
                <c:pt idx="395">
                  <c:v>30</c:v>
                </c:pt>
                <c:pt idx="396">
                  <c:v>25</c:v>
                </c:pt>
                <c:pt idx="397">
                  <c:v>600</c:v>
                </c:pt>
                <c:pt idx="398">
                  <c:v>60</c:v>
                </c:pt>
                <c:pt idx="399">
                  <c:v>200</c:v>
                </c:pt>
                <c:pt idx="400">
                  <c:v>300</c:v>
                </c:pt>
                <c:pt idx="401">
                  <c:v>600</c:v>
                </c:pt>
                <c:pt idx="402">
                  <c:v>600</c:v>
                </c:pt>
                <c:pt idx="403">
                  <c:v>1000</c:v>
                </c:pt>
                <c:pt idx="404">
                  <c:v>1200</c:v>
                </c:pt>
                <c:pt idx="405">
                  <c:v>100</c:v>
                </c:pt>
                <c:pt idx="406">
                  <c:v>900</c:v>
                </c:pt>
                <c:pt idx="407">
                  <c:v>500</c:v>
                </c:pt>
                <c:pt idx="408">
                  <c:v>900</c:v>
                </c:pt>
                <c:pt idx="409">
                  <c:v>100</c:v>
                </c:pt>
                <c:pt idx="410">
                  <c:v>200</c:v>
                </c:pt>
                <c:pt idx="411">
                  <c:v>2000</c:v>
                </c:pt>
                <c:pt idx="412">
                  <c:v>75</c:v>
                </c:pt>
                <c:pt idx="413">
                  <c:v>100</c:v>
                </c:pt>
                <c:pt idx="414">
                  <c:v>60</c:v>
                </c:pt>
                <c:pt idx="415">
                  <c:v>2000</c:v>
                </c:pt>
                <c:pt idx="416">
                  <c:v>900</c:v>
                </c:pt>
                <c:pt idx="417">
                  <c:v>1000</c:v>
                </c:pt>
                <c:pt idx="418">
                  <c:v>90</c:v>
                </c:pt>
                <c:pt idx="419">
                  <c:v>2000</c:v>
                </c:pt>
                <c:pt idx="420">
                  <c:v>1500</c:v>
                </c:pt>
                <c:pt idx="421">
                  <c:v>90</c:v>
                </c:pt>
                <c:pt idx="422">
                  <c:v>25</c:v>
                </c:pt>
                <c:pt idx="423">
                  <c:v>1200</c:v>
                </c:pt>
                <c:pt idx="424">
                  <c:v>120</c:v>
                </c:pt>
                <c:pt idx="425">
                  <c:v>150</c:v>
                </c:pt>
                <c:pt idx="426">
                  <c:v>25</c:v>
                </c:pt>
                <c:pt idx="427">
                  <c:v>200</c:v>
                </c:pt>
                <c:pt idx="428">
                  <c:v>50</c:v>
                </c:pt>
                <c:pt idx="429">
                  <c:v>900</c:v>
                </c:pt>
                <c:pt idx="430">
                  <c:v>1200</c:v>
                </c:pt>
                <c:pt idx="431">
                  <c:v>1000</c:v>
                </c:pt>
                <c:pt idx="432">
                  <c:v>200</c:v>
                </c:pt>
                <c:pt idx="433">
                  <c:v>50</c:v>
                </c:pt>
                <c:pt idx="434">
                  <c:v>900</c:v>
                </c:pt>
                <c:pt idx="435">
                  <c:v>120</c:v>
                </c:pt>
                <c:pt idx="436">
                  <c:v>1200</c:v>
                </c:pt>
                <c:pt idx="437">
                  <c:v>30</c:v>
                </c:pt>
                <c:pt idx="438">
                  <c:v>75</c:v>
                </c:pt>
                <c:pt idx="439">
                  <c:v>600</c:v>
                </c:pt>
                <c:pt idx="440">
                  <c:v>1200</c:v>
                </c:pt>
                <c:pt idx="441">
                  <c:v>100</c:v>
                </c:pt>
                <c:pt idx="442">
                  <c:v>600</c:v>
                </c:pt>
                <c:pt idx="443">
                  <c:v>90</c:v>
                </c:pt>
                <c:pt idx="444">
                  <c:v>300</c:v>
                </c:pt>
                <c:pt idx="445">
                  <c:v>50</c:v>
                </c:pt>
                <c:pt idx="446">
                  <c:v>2000</c:v>
                </c:pt>
                <c:pt idx="447">
                  <c:v>60</c:v>
                </c:pt>
                <c:pt idx="448">
                  <c:v>200</c:v>
                </c:pt>
                <c:pt idx="449">
                  <c:v>50</c:v>
                </c:pt>
                <c:pt idx="450">
                  <c:v>30</c:v>
                </c:pt>
                <c:pt idx="451">
                  <c:v>1500</c:v>
                </c:pt>
                <c:pt idx="452">
                  <c:v>1000</c:v>
                </c:pt>
                <c:pt idx="453">
                  <c:v>25</c:v>
                </c:pt>
                <c:pt idx="454">
                  <c:v>100</c:v>
                </c:pt>
                <c:pt idx="455">
                  <c:v>60</c:v>
                </c:pt>
                <c:pt idx="456">
                  <c:v>900</c:v>
                </c:pt>
                <c:pt idx="457">
                  <c:v>100</c:v>
                </c:pt>
                <c:pt idx="458">
                  <c:v>1200</c:v>
                </c:pt>
                <c:pt idx="459">
                  <c:v>50</c:v>
                </c:pt>
                <c:pt idx="460">
                  <c:v>1000</c:v>
                </c:pt>
                <c:pt idx="461">
                  <c:v>1200</c:v>
                </c:pt>
                <c:pt idx="462">
                  <c:v>1500</c:v>
                </c:pt>
                <c:pt idx="463">
                  <c:v>600</c:v>
                </c:pt>
                <c:pt idx="464">
                  <c:v>150</c:v>
                </c:pt>
                <c:pt idx="465">
                  <c:v>100</c:v>
                </c:pt>
                <c:pt idx="466">
                  <c:v>150</c:v>
                </c:pt>
                <c:pt idx="467">
                  <c:v>25</c:v>
                </c:pt>
                <c:pt idx="468">
                  <c:v>75</c:v>
                </c:pt>
                <c:pt idx="469">
                  <c:v>1000</c:v>
                </c:pt>
                <c:pt idx="470">
                  <c:v>150</c:v>
                </c:pt>
                <c:pt idx="471">
                  <c:v>900</c:v>
                </c:pt>
                <c:pt idx="472">
                  <c:v>50</c:v>
                </c:pt>
                <c:pt idx="473">
                  <c:v>1500</c:v>
                </c:pt>
                <c:pt idx="474">
                  <c:v>75</c:v>
                </c:pt>
                <c:pt idx="475">
                  <c:v>2000</c:v>
                </c:pt>
                <c:pt idx="476">
                  <c:v>120</c:v>
                </c:pt>
                <c:pt idx="477">
                  <c:v>60</c:v>
                </c:pt>
                <c:pt idx="478">
                  <c:v>1200</c:v>
                </c:pt>
                <c:pt idx="479">
                  <c:v>2000</c:v>
                </c:pt>
                <c:pt idx="480">
                  <c:v>1200</c:v>
                </c:pt>
                <c:pt idx="481">
                  <c:v>1200</c:v>
                </c:pt>
                <c:pt idx="482">
                  <c:v>30</c:v>
                </c:pt>
                <c:pt idx="483">
                  <c:v>1200</c:v>
                </c:pt>
                <c:pt idx="484">
                  <c:v>30</c:v>
                </c:pt>
                <c:pt idx="485">
                  <c:v>25</c:v>
                </c:pt>
                <c:pt idx="486">
                  <c:v>2000</c:v>
                </c:pt>
                <c:pt idx="487">
                  <c:v>900</c:v>
                </c:pt>
                <c:pt idx="488">
                  <c:v>30</c:v>
                </c:pt>
                <c:pt idx="489">
                  <c:v>150</c:v>
                </c:pt>
                <c:pt idx="490">
                  <c:v>900</c:v>
                </c:pt>
                <c:pt idx="491">
                  <c:v>100</c:v>
                </c:pt>
                <c:pt idx="492">
                  <c:v>50</c:v>
                </c:pt>
                <c:pt idx="493">
                  <c:v>200</c:v>
                </c:pt>
                <c:pt idx="494">
                  <c:v>60</c:v>
                </c:pt>
                <c:pt idx="495">
                  <c:v>600</c:v>
                </c:pt>
                <c:pt idx="496">
                  <c:v>120</c:v>
                </c:pt>
                <c:pt idx="497">
                  <c:v>100</c:v>
                </c:pt>
                <c:pt idx="498">
                  <c:v>60</c:v>
                </c:pt>
                <c:pt idx="499">
                  <c:v>100</c:v>
                </c:pt>
                <c:pt idx="500">
                  <c:v>60</c:v>
                </c:pt>
                <c:pt idx="501">
                  <c:v>150</c:v>
                </c:pt>
                <c:pt idx="502">
                  <c:v>2000</c:v>
                </c:pt>
                <c:pt idx="503">
                  <c:v>150</c:v>
                </c:pt>
                <c:pt idx="504">
                  <c:v>50</c:v>
                </c:pt>
                <c:pt idx="505">
                  <c:v>1500</c:v>
                </c:pt>
                <c:pt idx="506">
                  <c:v>1500</c:v>
                </c:pt>
                <c:pt idx="507">
                  <c:v>600</c:v>
                </c:pt>
                <c:pt idx="508">
                  <c:v>900</c:v>
                </c:pt>
                <c:pt idx="509">
                  <c:v>200</c:v>
                </c:pt>
                <c:pt idx="510">
                  <c:v>100</c:v>
                </c:pt>
                <c:pt idx="511">
                  <c:v>25</c:v>
                </c:pt>
                <c:pt idx="512">
                  <c:v>100</c:v>
                </c:pt>
                <c:pt idx="513">
                  <c:v>300</c:v>
                </c:pt>
                <c:pt idx="514">
                  <c:v>900</c:v>
                </c:pt>
                <c:pt idx="515">
                  <c:v>100</c:v>
                </c:pt>
                <c:pt idx="516">
                  <c:v>100</c:v>
                </c:pt>
                <c:pt idx="517">
                  <c:v>30</c:v>
                </c:pt>
                <c:pt idx="518">
                  <c:v>120</c:v>
                </c:pt>
                <c:pt idx="519">
                  <c:v>100</c:v>
                </c:pt>
                <c:pt idx="520">
                  <c:v>120</c:v>
                </c:pt>
                <c:pt idx="521">
                  <c:v>1500</c:v>
                </c:pt>
                <c:pt idx="522">
                  <c:v>300</c:v>
                </c:pt>
                <c:pt idx="523">
                  <c:v>1200</c:v>
                </c:pt>
                <c:pt idx="524">
                  <c:v>50</c:v>
                </c:pt>
                <c:pt idx="525">
                  <c:v>100</c:v>
                </c:pt>
                <c:pt idx="526">
                  <c:v>50</c:v>
                </c:pt>
                <c:pt idx="527">
                  <c:v>60</c:v>
                </c:pt>
                <c:pt idx="528">
                  <c:v>150</c:v>
                </c:pt>
                <c:pt idx="529">
                  <c:v>120</c:v>
                </c:pt>
                <c:pt idx="530">
                  <c:v>500</c:v>
                </c:pt>
                <c:pt idx="531">
                  <c:v>120</c:v>
                </c:pt>
                <c:pt idx="532">
                  <c:v>1500</c:v>
                </c:pt>
                <c:pt idx="533">
                  <c:v>1000</c:v>
                </c:pt>
                <c:pt idx="534">
                  <c:v>90</c:v>
                </c:pt>
                <c:pt idx="535">
                  <c:v>120</c:v>
                </c:pt>
                <c:pt idx="536">
                  <c:v>500</c:v>
                </c:pt>
                <c:pt idx="537">
                  <c:v>150</c:v>
                </c:pt>
                <c:pt idx="538">
                  <c:v>500</c:v>
                </c:pt>
                <c:pt idx="539">
                  <c:v>900</c:v>
                </c:pt>
                <c:pt idx="540">
                  <c:v>500</c:v>
                </c:pt>
                <c:pt idx="541">
                  <c:v>50</c:v>
                </c:pt>
                <c:pt idx="542">
                  <c:v>600</c:v>
                </c:pt>
                <c:pt idx="543">
                  <c:v>25</c:v>
                </c:pt>
                <c:pt idx="544">
                  <c:v>50</c:v>
                </c:pt>
                <c:pt idx="545">
                  <c:v>200</c:v>
                </c:pt>
                <c:pt idx="546">
                  <c:v>2000</c:v>
                </c:pt>
                <c:pt idx="547">
                  <c:v>60</c:v>
                </c:pt>
                <c:pt idx="548">
                  <c:v>100</c:v>
                </c:pt>
                <c:pt idx="549">
                  <c:v>900</c:v>
                </c:pt>
                <c:pt idx="550">
                  <c:v>900</c:v>
                </c:pt>
                <c:pt idx="551">
                  <c:v>75</c:v>
                </c:pt>
                <c:pt idx="552">
                  <c:v>1200</c:v>
                </c:pt>
                <c:pt idx="553">
                  <c:v>150</c:v>
                </c:pt>
                <c:pt idx="554">
                  <c:v>300</c:v>
                </c:pt>
                <c:pt idx="555">
                  <c:v>50</c:v>
                </c:pt>
                <c:pt idx="556">
                  <c:v>90</c:v>
                </c:pt>
                <c:pt idx="557">
                  <c:v>25</c:v>
                </c:pt>
                <c:pt idx="558">
                  <c:v>1200</c:v>
                </c:pt>
                <c:pt idx="559">
                  <c:v>50</c:v>
                </c:pt>
                <c:pt idx="560">
                  <c:v>2000</c:v>
                </c:pt>
                <c:pt idx="561">
                  <c:v>50</c:v>
                </c:pt>
                <c:pt idx="562">
                  <c:v>60</c:v>
                </c:pt>
                <c:pt idx="563">
                  <c:v>100</c:v>
                </c:pt>
                <c:pt idx="564">
                  <c:v>60</c:v>
                </c:pt>
                <c:pt idx="565">
                  <c:v>30</c:v>
                </c:pt>
                <c:pt idx="566">
                  <c:v>900</c:v>
                </c:pt>
                <c:pt idx="567">
                  <c:v>300</c:v>
                </c:pt>
                <c:pt idx="568">
                  <c:v>200</c:v>
                </c:pt>
                <c:pt idx="569">
                  <c:v>500</c:v>
                </c:pt>
                <c:pt idx="570">
                  <c:v>50</c:v>
                </c:pt>
                <c:pt idx="571">
                  <c:v>2000</c:v>
                </c:pt>
                <c:pt idx="572">
                  <c:v>60</c:v>
                </c:pt>
                <c:pt idx="573">
                  <c:v>50</c:v>
                </c:pt>
                <c:pt idx="574">
                  <c:v>100</c:v>
                </c:pt>
                <c:pt idx="575">
                  <c:v>150</c:v>
                </c:pt>
                <c:pt idx="576">
                  <c:v>2000</c:v>
                </c:pt>
                <c:pt idx="577">
                  <c:v>120</c:v>
                </c:pt>
                <c:pt idx="578">
                  <c:v>30</c:v>
                </c:pt>
                <c:pt idx="579">
                  <c:v>1500</c:v>
                </c:pt>
                <c:pt idx="580">
                  <c:v>60</c:v>
                </c:pt>
                <c:pt idx="581">
                  <c:v>900</c:v>
                </c:pt>
                <c:pt idx="582">
                  <c:v>100</c:v>
                </c:pt>
                <c:pt idx="583">
                  <c:v>200</c:v>
                </c:pt>
                <c:pt idx="584">
                  <c:v>25</c:v>
                </c:pt>
                <c:pt idx="585">
                  <c:v>50</c:v>
                </c:pt>
                <c:pt idx="586">
                  <c:v>1200</c:v>
                </c:pt>
                <c:pt idx="587">
                  <c:v>60</c:v>
                </c:pt>
                <c:pt idx="588">
                  <c:v>1000</c:v>
                </c:pt>
                <c:pt idx="589">
                  <c:v>900</c:v>
                </c:pt>
                <c:pt idx="590">
                  <c:v>100</c:v>
                </c:pt>
                <c:pt idx="591">
                  <c:v>2000</c:v>
                </c:pt>
                <c:pt idx="592">
                  <c:v>60</c:v>
                </c:pt>
                <c:pt idx="593">
                  <c:v>600</c:v>
                </c:pt>
                <c:pt idx="594">
                  <c:v>2000</c:v>
                </c:pt>
                <c:pt idx="595">
                  <c:v>300</c:v>
                </c:pt>
                <c:pt idx="596">
                  <c:v>1200</c:v>
                </c:pt>
                <c:pt idx="597">
                  <c:v>120</c:v>
                </c:pt>
                <c:pt idx="598">
                  <c:v>100</c:v>
                </c:pt>
                <c:pt idx="599">
                  <c:v>1000</c:v>
                </c:pt>
                <c:pt idx="600">
                  <c:v>30</c:v>
                </c:pt>
                <c:pt idx="601">
                  <c:v>300</c:v>
                </c:pt>
                <c:pt idx="602">
                  <c:v>90</c:v>
                </c:pt>
                <c:pt idx="603">
                  <c:v>200</c:v>
                </c:pt>
                <c:pt idx="604">
                  <c:v>1000</c:v>
                </c:pt>
                <c:pt idx="605">
                  <c:v>50</c:v>
                </c:pt>
                <c:pt idx="606">
                  <c:v>75</c:v>
                </c:pt>
                <c:pt idx="607">
                  <c:v>1500</c:v>
                </c:pt>
                <c:pt idx="608">
                  <c:v>100</c:v>
                </c:pt>
                <c:pt idx="609">
                  <c:v>600</c:v>
                </c:pt>
                <c:pt idx="610">
                  <c:v>1500</c:v>
                </c:pt>
                <c:pt idx="611">
                  <c:v>500</c:v>
                </c:pt>
                <c:pt idx="612">
                  <c:v>90</c:v>
                </c:pt>
                <c:pt idx="613">
                  <c:v>1200</c:v>
                </c:pt>
                <c:pt idx="614">
                  <c:v>100</c:v>
                </c:pt>
                <c:pt idx="615">
                  <c:v>100</c:v>
                </c:pt>
                <c:pt idx="616">
                  <c:v>30</c:v>
                </c:pt>
                <c:pt idx="617">
                  <c:v>50</c:v>
                </c:pt>
                <c:pt idx="618">
                  <c:v>100</c:v>
                </c:pt>
                <c:pt idx="619">
                  <c:v>75</c:v>
                </c:pt>
                <c:pt idx="620">
                  <c:v>1000</c:v>
                </c:pt>
                <c:pt idx="621">
                  <c:v>75</c:v>
                </c:pt>
                <c:pt idx="622">
                  <c:v>150</c:v>
                </c:pt>
                <c:pt idx="623">
                  <c:v>900</c:v>
                </c:pt>
                <c:pt idx="624">
                  <c:v>300</c:v>
                </c:pt>
                <c:pt idx="625">
                  <c:v>2000</c:v>
                </c:pt>
                <c:pt idx="626">
                  <c:v>50</c:v>
                </c:pt>
                <c:pt idx="627">
                  <c:v>200</c:v>
                </c:pt>
                <c:pt idx="628">
                  <c:v>50</c:v>
                </c:pt>
                <c:pt idx="629">
                  <c:v>100</c:v>
                </c:pt>
                <c:pt idx="630">
                  <c:v>90</c:v>
                </c:pt>
                <c:pt idx="631">
                  <c:v>100</c:v>
                </c:pt>
                <c:pt idx="632">
                  <c:v>120</c:v>
                </c:pt>
                <c:pt idx="633">
                  <c:v>2000</c:v>
                </c:pt>
                <c:pt idx="634">
                  <c:v>900</c:v>
                </c:pt>
                <c:pt idx="635">
                  <c:v>1500</c:v>
                </c:pt>
                <c:pt idx="636">
                  <c:v>600</c:v>
                </c:pt>
                <c:pt idx="637">
                  <c:v>500</c:v>
                </c:pt>
                <c:pt idx="638">
                  <c:v>200</c:v>
                </c:pt>
                <c:pt idx="639">
                  <c:v>120</c:v>
                </c:pt>
                <c:pt idx="640">
                  <c:v>300</c:v>
                </c:pt>
                <c:pt idx="641">
                  <c:v>100</c:v>
                </c:pt>
                <c:pt idx="642">
                  <c:v>90</c:v>
                </c:pt>
                <c:pt idx="643">
                  <c:v>75</c:v>
                </c:pt>
                <c:pt idx="644">
                  <c:v>120</c:v>
                </c:pt>
                <c:pt idx="645">
                  <c:v>90</c:v>
                </c:pt>
                <c:pt idx="646">
                  <c:v>1500</c:v>
                </c:pt>
                <c:pt idx="647">
                  <c:v>1200</c:v>
                </c:pt>
                <c:pt idx="648">
                  <c:v>600</c:v>
                </c:pt>
                <c:pt idx="649">
                  <c:v>30</c:v>
                </c:pt>
                <c:pt idx="650">
                  <c:v>150</c:v>
                </c:pt>
                <c:pt idx="651">
                  <c:v>100</c:v>
                </c:pt>
                <c:pt idx="652">
                  <c:v>75</c:v>
                </c:pt>
                <c:pt idx="653">
                  <c:v>75</c:v>
                </c:pt>
                <c:pt idx="654">
                  <c:v>500</c:v>
                </c:pt>
                <c:pt idx="655">
                  <c:v>90</c:v>
                </c:pt>
                <c:pt idx="656">
                  <c:v>25</c:v>
                </c:pt>
                <c:pt idx="657">
                  <c:v>25</c:v>
                </c:pt>
                <c:pt idx="658">
                  <c:v>30</c:v>
                </c:pt>
                <c:pt idx="659">
                  <c:v>1000</c:v>
                </c:pt>
                <c:pt idx="660">
                  <c:v>100</c:v>
                </c:pt>
                <c:pt idx="661">
                  <c:v>1000</c:v>
                </c:pt>
                <c:pt idx="662">
                  <c:v>1200</c:v>
                </c:pt>
                <c:pt idx="663">
                  <c:v>2000</c:v>
                </c:pt>
                <c:pt idx="664">
                  <c:v>50</c:v>
                </c:pt>
                <c:pt idx="665">
                  <c:v>150</c:v>
                </c:pt>
                <c:pt idx="666">
                  <c:v>500</c:v>
                </c:pt>
                <c:pt idx="667">
                  <c:v>150</c:v>
                </c:pt>
                <c:pt idx="668">
                  <c:v>1200</c:v>
                </c:pt>
                <c:pt idx="669">
                  <c:v>30</c:v>
                </c:pt>
                <c:pt idx="670">
                  <c:v>150</c:v>
                </c:pt>
                <c:pt idx="671">
                  <c:v>100</c:v>
                </c:pt>
                <c:pt idx="672">
                  <c:v>1500</c:v>
                </c:pt>
                <c:pt idx="673">
                  <c:v>300</c:v>
                </c:pt>
                <c:pt idx="674">
                  <c:v>60</c:v>
                </c:pt>
                <c:pt idx="675">
                  <c:v>1500</c:v>
                </c:pt>
                <c:pt idx="676">
                  <c:v>1500</c:v>
                </c:pt>
                <c:pt idx="677">
                  <c:v>900</c:v>
                </c:pt>
                <c:pt idx="678">
                  <c:v>90</c:v>
                </c:pt>
                <c:pt idx="679">
                  <c:v>900</c:v>
                </c:pt>
                <c:pt idx="680">
                  <c:v>60</c:v>
                </c:pt>
                <c:pt idx="681">
                  <c:v>1200</c:v>
                </c:pt>
                <c:pt idx="682">
                  <c:v>1000</c:v>
                </c:pt>
                <c:pt idx="683">
                  <c:v>1000</c:v>
                </c:pt>
                <c:pt idx="684">
                  <c:v>50</c:v>
                </c:pt>
                <c:pt idx="685">
                  <c:v>200</c:v>
                </c:pt>
                <c:pt idx="686">
                  <c:v>300</c:v>
                </c:pt>
                <c:pt idx="687">
                  <c:v>100</c:v>
                </c:pt>
                <c:pt idx="688">
                  <c:v>100</c:v>
                </c:pt>
                <c:pt idx="689">
                  <c:v>900</c:v>
                </c:pt>
                <c:pt idx="690">
                  <c:v>90</c:v>
                </c:pt>
                <c:pt idx="691">
                  <c:v>100</c:v>
                </c:pt>
                <c:pt idx="692">
                  <c:v>1500</c:v>
                </c:pt>
                <c:pt idx="693">
                  <c:v>50</c:v>
                </c:pt>
                <c:pt idx="694">
                  <c:v>150</c:v>
                </c:pt>
                <c:pt idx="695">
                  <c:v>200</c:v>
                </c:pt>
                <c:pt idx="696">
                  <c:v>500</c:v>
                </c:pt>
                <c:pt idx="697">
                  <c:v>300</c:v>
                </c:pt>
                <c:pt idx="698">
                  <c:v>120</c:v>
                </c:pt>
                <c:pt idx="699">
                  <c:v>2000</c:v>
                </c:pt>
                <c:pt idx="700">
                  <c:v>60</c:v>
                </c:pt>
                <c:pt idx="701">
                  <c:v>600</c:v>
                </c:pt>
                <c:pt idx="702">
                  <c:v>100</c:v>
                </c:pt>
                <c:pt idx="703">
                  <c:v>90</c:v>
                </c:pt>
                <c:pt idx="704">
                  <c:v>50</c:v>
                </c:pt>
                <c:pt idx="705">
                  <c:v>100</c:v>
                </c:pt>
                <c:pt idx="706">
                  <c:v>500</c:v>
                </c:pt>
                <c:pt idx="707">
                  <c:v>900</c:v>
                </c:pt>
                <c:pt idx="708">
                  <c:v>1000</c:v>
                </c:pt>
                <c:pt idx="709">
                  <c:v>1500</c:v>
                </c:pt>
                <c:pt idx="710">
                  <c:v>1500</c:v>
                </c:pt>
                <c:pt idx="711">
                  <c:v>50</c:v>
                </c:pt>
                <c:pt idx="712">
                  <c:v>75</c:v>
                </c:pt>
                <c:pt idx="713">
                  <c:v>500</c:v>
                </c:pt>
                <c:pt idx="714">
                  <c:v>100</c:v>
                </c:pt>
                <c:pt idx="715">
                  <c:v>1200</c:v>
                </c:pt>
                <c:pt idx="716">
                  <c:v>500</c:v>
                </c:pt>
                <c:pt idx="717">
                  <c:v>75</c:v>
                </c:pt>
                <c:pt idx="718">
                  <c:v>60</c:v>
                </c:pt>
                <c:pt idx="719">
                  <c:v>1500</c:v>
                </c:pt>
                <c:pt idx="720">
                  <c:v>500</c:v>
                </c:pt>
                <c:pt idx="721">
                  <c:v>900</c:v>
                </c:pt>
                <c:pt idx="722">
                  <c:v>200</c:v>
                </c:pt>
                <c:pt idx="723">
                  <c:v>150</c:v>
                </c:pt>
                <c:pt idx="724">
                  <c:v>300</c:v>
                </c:pt>
                <c:pt idx="725">
                  <c:v>1200</c:v>
                </c:pt>
                <c:pt idx="726">
                  <c:v>900</c:v>
                </c:pt>
                <c:pt idx="727">
                  <c:v>150</c:v>
                </c:pt>
                <c:pt idx="728">
                  <c:v>1200</c:v>
                </c:pt>
                <c:pt idx="729">
                  <c:v>50</c:v>
                </c:pt>
                <c:pt idx="730">
                  <c:v>2000</c:v>
                </c:pt>
                <c:pt idx="731">
                  <c:v>1000</c:v>
                </c:pt>
                <c:pt idx="732">
                  <c:v>30</c:v>
                </c:pt>
                <c:pt idx="733">
                  <c:v>30</c:v>
                </c:pt>
                <c:pt idx="734">
                  <c:v>2000</c:v>
                </c:pt>
                <c:pt idx="735">
                  <c:v>100</c:v>
                </c:pt>
                <c:pt idx="736">
                  <c:v>50</c:v>
                </c:pt>
                <c:pt idx="737">
                  <c:v>100</c:v>
                </c:pt>
                <c:pt idx="738">
                  <c:v>25</c:v>
                </c:pt>
                <c:pt idx="739">
                  <c:v>200</c:v>
                </c:pt>
                <c:pt idx="740">
                  <c:v>300</c:v>
                </c:pt>
                <c:pt idx="741">
                  <c:v>2000</c:v>
                </c:pt>
                <c:pt idx="742">
                  <c:v>2000</c:v>
                </c:pt>
                <c:pt idx="743">
                  <c:v>25</c:v>
                </c:pt>
                <c:pt idx="744">
                  <c:v>100</c:v>
                </c:pt>
                <c:pt idx="745">
                  <c:v>90</c:v>
                </c:pt>
                <c:pt idx="746">
                  <c:v>30</c:v>
                </c:pt>
                <c:pt idx="747">
                  <c:v>150</c:v>
                </c:pt>
                <c:pt idx="748">
                  <c:v>30</c:v>
                </c:pt>
                <c:pt idx="749">
                  <c:v>75</c:v>
                </c:pt>
                <c:pt idx="750">
                  <c:v>50</c:v>
                </c:pt>
                <c:pt idx="751">
                  <c:v>100</c:v>
                </c:pt>
                <c:pt idx="752">
                  <c:v>30</c:v>
                </c:pt>
                <c:pt idx="753">
                  <c:v>100</c:v>
                </c:pt>
                <c:pt idx="754">
                  <c:v>75</c:v>
                </c:pt>
                <c:pt idx="755">
                  <c:v>1200</c:v>
                </c:pt>
                <c:pt idx="756">
                  <c:v>1200</c:v>
                </c:pt>
                <c:pt idx="757">
                  <c:v>100</c:v>
                </c:pt>
                <c:pt idx="758">
                  <c:v>100</c:v>
                </c:pt>
                <c:pt idx="759">
                  <c:v>500</c:v>
                </c:pt>
                <c:pt idx="760">
                  <c:v>500</c:v>
                </c:pt>
                <c:pt idx="761">
                  <c:v>50</c:v>
                </c:pt>
                <c:pt idx="762">
                  <c:v>50</c:v>
                </c:pt>
                <c:pt idx="763">
                  <c:v>25</c:v>
                </c:pt>
                <c:pt idx="764">
                  <c:v>200</c:v>
                </c:pt>
                <c:pt idx="765">
                  <c:v>900</c:v>
                </c:pt>
                <c:pt idx="766">
                  <c:v>75</c:v>
                </c:pt>
                <c:pt idx="767">
                  <c:v>75</c:v>
                </c:pt>
                <c:pt idx="768">
                  <c:v>120</c:v>
                </c:pt>
                <c:pt idx="769">
                  <c:v>50</c:v>
                </c:pt>
                <c:pt idx="770">
                  <c:v>50</c:v>
                </c:pt>
                <c:pt idx="771">
                  <c:v>30</c:v>
                </c:pt>
                <c:pt idx="772">
                  <c:v>2000</c:v>
                </c:pt>
                <c:pt idx="773">
                  <c:v>50</c:v>
                </c:pt>
                <c:pt idx="774">
                  <c:v>100</c:v>
                </c:pt>
                <c:pt idx="775">
                  <c:v>90</c:v>
                </c:pt>
                <c:pt idx="776">
                  <c:v>150</c:v>
                </c:pt>
                <c:pt idx="777">
                  <c:v>100</c:v>
                </c:pt>
                <c:pt idx="778">
                  <c:v>1000</c:v>
                </c:pt>
                <c:pt idx="779">
                  <c:v>50</c:v>
                </c:pt>
                <c:pt idx="780">
                  <c:v>500</c:v>
                </c:pt>
                <c:pt idx="781">
                  <c:v>900</c:v>
                </c:pt>
                <c:pt idx="782">
                  <c:v>300</c:v>
                </c:pt>
                <c:pt idx="783">
                  <c:v>500</c:v>
                </c:pt>
                <c:pt idx="784">
                  <c:v>200</c:v>
                </c:pt>
                <c:pt idx="785">
                  <c:v>100</c:v>
                </c:pt>
                <c:pt idx="786">
                  <c:v>25</c:v>
                </c:pt>
                <c:pt idx="787">
                  <c:v>900</c:v>
                </c:pt>
                <c:pt idx="788">
                  <c:v>2000</c:v>
                </c:pt>
                <c:pt idx="789">
                  <c:v>25</c:v>
                </c:pt>
                <c:pt idx="790">
                  <c:v>25</c:v>
                </c:pt>
                <c:pt idx="791">
                  <c:v>50</c:v>
                </c:pt>
                <c:pt idx="792">
                  <c:v>30</c:v>
                </c:pt>
                <c:pt idx="793">
                  <c:v>300</c:v>
                </c:pt>
                <c:pt idx="794">
                  <c:v>300</c:v>
                </c:pt>
                <c:pt idx="795">
                  <c:v>120</c:v>
                </c:pt>
                <c:pt idx="796">
                  <c:v>75</c:v>
                </c:pt>
                <c:pt idx="797">
                  <c:v>50</c:v>
                </c:pt>
                <c:pt idx="798">
                  <c:v>100</c:v>
                </c:pt>
                <c:pt idx="799">
                  <c:v>1200</c:v>
                </c:pt>
                <c:pt idx="800">
                  <c:v>200</c:v>
                </c:pt>
                <c:pt idx="801">
                  <c:v>30</c:v>
                </c:pt>
                <c:pt idx="802">
                  <c:v>100</c:v>
                </c:pt>
                <c:pt idx="803">
                  <c:v>30</c:v>
                </c:pt>
                <c:pt idx="804">
                  <c:v>1500</c:v>
                </c:pt>
                <c:pt idx="805">
                  <c:v>900</c:v>
                </c:pt>
                <c:pt idx="806">
                  <c:v>200</c:v>
                </c:pt>
                <c:pt idx="807">
                  <c:v>2000</c:v>
                </c:pt>
                <c:pt idx="808">
                  <c:v>100</c:v>
                </c:pt>
                <c:pt idx="809">
                  <c:v>100</c:v>
                </c:pt>
                <c:pt idx="810">
                  <c:v>50</c:v>
                </c:pt>
                <c:pt idx="811">
                  <c:v>75</c:v>
                </c:pt>
                <c:pt idx="812">
                  <c:v>150</c:v>
                </c:pt>
                <c:pt idx="813">
                  <c:v>500</c:v>
                </c:pt>
                <c:pt idx="814">
                  <c:v>75</c:v>
                </c:pt>
                <c:pt idx="815">
                  <c:v>1000</c:v>
                </c:pt>
                <c:pt idx="816">
                  <c:v>200</c:v>
                </c:pt>
                <c:pt idx="817">
                  <c:v>500</c:v>
                </c:pt>
                <c:pt idx="818">
                  <c:v>100</c:v>
                </c:pt>
                <c:pt idx="819">
                  <c:v>200</c:v>
                </c:pt>
                <c:pt idx="820">
                  <c:v>300</c:v>
                </c:pt>
                <c:pt idx="821">
                  <c:v>150</c:v>
                </c:pt>
                <c:pt idx="822">
                  <c:v>100</c:v>
                </c:pt>
                <c:pt idx="823">
                  <c:v>120</c:v>
                </c:pt>
                <c:pt idx="824">
                  <c:v>25</c:v>
                </c:pt>
                <c:pt idx="825">
                  <c:v>300</c:v>
                </c:pt>
                <c:pt idx="826">
                  <c:v>900</c:v>
                </c:pt>
                <c:pt idx="827">
                  <c:v>1200</c:v>
                </c:pt>
                <c:pt idx="828">
                  <c:v>90</c:v>
                </c:pt>
                <c:pt idx="829">
                  <c:v>150</c:v>
                </c:pt>
                <c:pt idx="830">
                  <c:v>100</c:v>
                </c:pt>
                <c:pt idx="831">
                  <c:v>2000</c:v>
                </c:pt>
                <c:pt idx="832">
                  <c:v>200</c:v>
                </c:pt>
                <c:pt idx="833">
                  <c:v>60</c:v>
                </c:pt>
                <c:pt idx="834">
                  <c:v>200</c:v>
                </c:pt>
                <c:pt idx="835">
                  <c:v>50</c:v>
                </c:pt>
                <c:pt idx="836">
                  <c:v>90</c:v>
                </c:pt>
                <c:pt idx="837">
                  <c:v>600</c:v>
                </c:pt>
                <c:pt idx="838">
                  <c:v>1200</c:v>
                </c:pt>
                <c:pt idx="839">
                  <c:v>50</c:v>
                </c:pt>
                <c:pt idx="840">
                  <c:v>100</c:v>
                </c:pt>
                <c:pt idx="841">
                  <c:v>600</c:v>
                </c:pt>
                <c:pt idx="842">
                  <c:v>1500</c:v>
                </c:pt>
                <c:pt idx="843">
                  <c:v>150</c:v>
                </c:pt>
                <c:pt idx="844">
                  <c:v>500</c:v>
                </c:pt>
                <c:pt idx="845">
                  <c:v>50</c:v>
                </c:pt>
                <c:pt idx="846">
                  <c:v>1200</c:v>
                </c:pt>
                <c:pt idx="847">
                  <c:v>75</c:v>
                </c:pt>
                <c:pt idx="848">
                  <c:v>50</c:v>
                </c:pt>
                <c:pt idx="849">
                  <c:v>1000</c:v>
                </c:pt>
                <c:pt idx="850">
                  <c:v>50</c:v>
                </c:pt>
                <c:pt idx="851">
                  <c:v>300</c:v>
                </c:pt>
                <c:pt idx="852">
                  <c:v>1000</c:v>
                </c:pt>
                <c:pt idx="853">
                  <c:v>50</c:v>
                </c:pt>
                <c:pt idx="854">
                  <c:v>25</c:v>
                </c:pt>
                <c:pt idx="855">
                  <c:v>120</c:v>
                </c:pt>
                <c:pt idx="856">
                  <c:v>50</c:v>
                </c:pt>
                <c:pt idx="857">
                  <c:v>100</c:v>
                </c:pt>
                <c:pt idx="858">
                  <c:v>1500</c:v>
                </c:pt>
                <c:pt idx="859">
                  <c:v>200</c:v>
                </c:pt>
                <c:pt idx="860">
                  <c:v>90</c:v>
                </c:pt>
                <c:pt idx="861">
                  <c:v>1200</c:v>
                </c:pt>
                <c:pt idx="862">
                  <c:v>50</c:v>
                </c:pt>
                <c:pt idx="863">
                  <c:v>500</c:v>
                </c:pt>
                <c:pt idx="864">
                  <c:v>300</c:v>
                </c:pt>
                <c:pt idx="865">
                  <c:v>50</c:v>
                </c:pt>
                <c:pt idx="866">
                  <c:v>500</c:v>
                </c:pt>
                <c:pt idx="867">
                  <c:v>300</c:v>
                </c:pt>
                <c:pt idx="868">
                  <c:v>1500</c:v>
                </c:pt>
                <c:pt idx="869">
                  <c:v>120</c:v>
                </c:pt>
                <c:pt idx="870">
                  <c:v>60</c:v>
                </c:pt>
                <c:pt idx="871">
                  <c:v>75</c:v>
                </c:pt>
                <c:pt idx="872">
                  <c:v>100</c:v>
                </c:pt>
                <c:pt idx="873">
                  <c:v>30</c:v>
                </c:pt>
                <c:pt idx="874">
                  <c:v>2000</c:v>
                </c:pt>
                <c:pt idx="875">
                  <c:v>120</c:v>
                </c:pt>
                <c:pt idx="876">
                  <c:v>25</c:v>
                </c:pt>
                <c:pt idx="877">
                  <c:v>30</c:v>
                </c:pt>
                <c:pt idx="878">
                  <c:v>30</c:v>
                </c:pt>
                <c:pt idx="879">
                  <c:v>1000</c:v>
                </c:pt>
                <c:pt idx="880">
                  <c:v>300</c:v>
                </c:pt>
                <c:pt idx="881">
                  <c:v>50</c:v>
                </c:pt>
                <c:pt idx="882">
                  <c:v>500</c:v>
                </c:pt>
                <c:pt idx="883">
                  <c:v>60</c:v>
                </c:pt>
                <c:pt idx="884">
                  <c:v>120</c:v>
                </c:pt>
                <c:pt idx="885">
                  <c:v>900</c:v>
                </c:pt>
                <c:pt idx="886">
                  <c:v>100</c:v>
                </c:pt>
                <c:pt idx="887">
                  <c:v>100</c:v>
                </c:pt>
                <c:pt idx="888">
                  <c:v>50</c:v>
                </c:pt>
                <c:pt idx="889">
                  <c:v>50</c:v>
                </c:pt>
                <c:pt idx="890">
                  <c:v>900</c:v>
                </c:pt>
                <c:pt idx="891">
                  <c:v>50</c:v>
                </c:pt>
                <c:pt idx="892">
                  <c:v>50</c:v>
                </c:pt>
                <c:pt idx="893">
                  <c:v>30</c:v>
                </c:pt>
                <c:pt idx="894">
                  <c:v>120</c:v>
                </c:pt>
                <c:pt idx="895">
                  <c:v>50</c:v>
                </c:pt>
                <c:pt idx="896">
                  <c:v>100</c:v>
                </c:pt>
                <c:pt idx="897">
                  <c:v>90</c:v>
                </c:pt>
                <c:pt idx="898">
                  <c:v>600</c:v>
                </c:pt>
                <c:pt idx="899">
                  <c:v>60</c:v>
                </c:pt>
                <c:pt idx="900">
                  <c:v>30</c:v>
                </c:pt>
                <c:pt idx="901">
                  <c:v>50</c:v>
                </c:pt>
                <c:pt idx="902">
                  <c:v>200</c:v>
                </c:pt>
                <c:pt idx="903">
                  <c:v>500</c:v>
                </c:pt>
                <c:pt idx="904">
                  <c:v>300</c:v>
                </c:pt>
                <c:pt idx="905">
                  <c:v>50</c:v>
                </c:pt>
                <c:pt idx="906">
                  <c:v>25</c:v>
                </c:pt>
                <c:pt idx="907">
                  <c:v>1200</c:v>
                </c:pt>
                <c:pt idx="908">
                  <c:v>300</c:v>
                </c:pt>
                <c:pt idx="909">
                  <c:v>150</c:v>
                </c:pt>
                <c:pt idx="910">
                  <c:v>900</c:v>
                </c:pt>
                <c:pt idx="911">
                  <c:v>150</c:v>
                </c:pt>
                <c:pt idx="912">
                  <c:v>90</c:v>
                </c:pt>
                <c:pt idx="913">
                  <c:v>500</c:v>
                </c:pt>
                <c:pt idx="914">
                  <c:v>90</c:v>
                </c:pt>
                <c:pt idx="915">
                  <c:v>50</c:v>
                </c:pt>
                <c:pt idx="916">
                  <c:v>200</c:v>
                </c:pt>
                <c:pt idx="917">
                  <c:v>90</c:v>
                </c:pt>
                <c:pt idx="918">
                  <c:v>50</c:v>
                </c:pt>
                <c:pt idx="919">
                  <c:v>75</c:v>
                </c:pt>
                <c:pt idx="920">
                  <c:v>75</c:v>
                </c:pt>
                <c:pt idx="921">
                  <c:v>50</c:v>
                </c:pt>
                <c:pt idx="922">
                  <c:v>900</c:v>
                </c:pt>
                <c:pt idx="923">
                  <c:v>100</c:v>
                </c:pt>
                <c:pt idx="924">
                  <c:v>300</c:v>
                </c:pt>
                <c:pt idx="925">
                  <c:v>30</c:v>
                </c:pt>
                <c:pt idx="926">
                  <c:v>2000</c:v>
                </c:pt>
                <c:pt idx="927">
                  <c:v>1200</c:v>
                </c:pt>
                <c:pt idx="928">
                  <c:v>75</c:v>
                </c:pt>
                <c:pt idx="929">
                  <c:v>200</c:v>
                </c:pt>
                <c:pt idx="930">
                  <c:v>120</c:v>
                </c:pt>
                <c:pt idx="931">
                  <c:v>100</c:v>
                </c:pt>
                <c:pt idx="932">
                  <c:v>30</c:v>
                </c:pt>
                <c:pt idx="933">
                  <c:v>500</c:v>
                </c:pt>
                <c:pt idx="934">
                  <c:v>50</c:v>
                </c:pt>
                <c:pt idx="935">
                  <c:v>200</c:v>
                </c:pt>
                <c:pt idx="936">
                  <c:v>500</c:v>
                </c:pt>
                <c:pt idx="937">
                  <c:v>200</c:v>
                </c:pt>
                <c:pt idx="938">
                  <c:v>300</c:v>
                </c:pt>
                <c:pt idx="939">
                  <c:v>30</c:v>
                </c:pt>
                <c:pt idx="940">
                  <c:v>50</c:v>
                </c:pt>
                <c:pt idx="941">
                  <c:v>1500</c:v>
                </c:pt>
                <c:pt idx="942">
                  <c:v>1200</c:v>
                </c:pt>
                <c:pt idx="943">
                  <c:v>50</c:v>
                </c:pt>
                <c:pt idx="944">
                  <c:v>25</c:v>
                </c:pt>
                <c:pt idx="945">
                  <c:v>2000</c:v>
                </c:pt>
                <c:pt idx="946">
                  <c:v>300</c:v>
                </c:pt>
                <c:pt idx="947">
                  <c:v>75</c:v>
                </c:pt>
                <c:pt idx="948">
                  <c:v>50</c:v>
                </c:pt>
                <c:pt idx="949">
                  <c:v>900</c:v>
                </c:pt>
                <c:pt idx="950">
                  <c:v>100</c:v>
                </c:pt>
                <c:pt idx="951">
                  <c:v>25</c:v>
                </c:pt>
                <c:pt idx="952">
                  <c:v>90</c:v>
                </c:pt>
                <c:pt idx="953">
                  <c:v>900</c:v>
                </c:pt>
                <c:pt idx="954">
                  <c:v>25</c:v>
                </c:pt>
                <c:pt idx="955">
                  <c:v>1500</c:v>
                </c:pt>
                <c:pt idx="956">
                  <c:v>120</c:v>
                </c:pt>
                <c:pt idx="957">
                  <c:v>50</c:v>
                </c:pt>
                <c:pt idx="958">
                  <c:v>60</c:v>
                </c:pt>
                <c:pt idx="959">
                  <c:v>60</c:v>
                </c:pt>
                <c:pt idx="960">
                  <c:v>200</c:v>
                </c:pt>
                <c:pt idx="961">
                  <c:v>60</c:v>
                </c:pt>
                <c:pt idx="962">
                  <c:v>50</c:v>
                </c:pt>
                <c:pt idx="963">
                  <c:v>900</c:v>
                </c:pt>
                <c:pt idx="964">
                  <c:v>200</c:v>
                </c:pt>
                <c:pt idx="965">
                  <c:v>1000</c:v>
                </c:pt>
                <c:pt idx="966">
                  <c:v>25</c:v>
                </c:pt>
                <c:pt idx="967">
                  <c:v>900</c:v>
                </c:pt>
                <c:pt idx="968">
                  <c:v>900</c:v>
                </c:pt>
                <c:pt idx="969">
                  <c:v>2000</c:v>
                </c:pt>
                <c:pt idx="970">
                  <c:v>200</c:v>
                </c:pt>
                <c:pt idx="971">
                  <c:v>100</c:v>
                </c:pt>
                <c:pt idx="972">
                  <c:v>50</c:v>
                </c:pt>
                <c:pt idx="973">
                  <c:v>30</c:v>
                </c:pt>
                <c:pt idx="974">
                  <c:v>200</c:v>
                </c:pt>
                <c:pt idx="975">
                  <c:v>600</c:v>
                </c:pt>
                <c:pt idx="976">
                  <c:v>75</c:v>
                </c:pt>
                <c:pt idx="977">
                  <c:v>150</c:v>
                </c:pt>
                <c:pt idx="978">
                  <c:v>25</c:v>
                </c:pt>
                <c:pt idx="979">
                  <c:v>75</c:v>
                </c:pt>
                <c:pt idx="980">
                  <c:v>60</c:v>
                </c:pt>
                <c:pt idx="981">
                  <c:v>90</c:v>
                </c:pt>
                <c:pt idx="982">
                  <c:v>300</c:v>
                </c:pt>
                <c:pt idx="983">
                  <c:v>500</c:v>
                </c:pt>
                <c:pt idx="984">
                  <c:v>50</c:v>
                </c:pt>
                <c:pt idx="985">
                  <c:v>1000</c:v>
                </c:pt>
                <c:pt idx="986">
                  <c:v>900</c:v>
                </c:pt>
                <c:pt idx="987">
                  <c:v>75</c:v>
                </c:pt>
                <c:pt idx="988">
                  <c:v>25</c:v>
                </c:pt>
                <c:pt idx="989">
                  <c:v>1000</c:v>
                </c:pt>
                <c:pt idx="990">
                  <c:v>100</c:v>
                </c:pt>
                <c:pt idx="991">
                  <c:v>60</c:v>
                </c:pt>
                <c:pt idx="992">
                  <c:v>150</c:v>
                </c:pt>
                <c:pt idx="993">
                  <c:v>1000</c:v>
                </c:pt>
                <c:pt idx="994">
                  <c:v>30</c:v>
                </c:pt>
                <c:pt idx="995">
                  <c:v>50</c:v>
                </c:pt>
                <c:pt idx="996">
                  <c:v>90</c:v>
                </c:pt>
                <c:pt idx="997">
                  <c:v>100</c:v>
                </c:pt>
                <c:pt idx="998">
                  <c:v>150</c:v>
                </c:pt>
                <c:pt idx="999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43-4BEF-97B6-BE2A9BFCA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7642016"/>
        <c:axId val="1677651168"/>
      </c:lineChart>
      <c:catAx>
        <c:axId val="167764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651168"/>
        <c:crosses val="autoZero"/>
        <c:auto val="1"/>
        <c:lblAlgn val="ctr"/>
        <c:lblOffset val="100"/>
        <c:noMultiLvlLbl val="0"/>
      </c:catAx>
      <c:valAx>
        <c:axId val="167765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642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project.xlsx]L...retail_sales_dataset  PROJE!PivotTable6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3934524842588716"/>
          <c:y val="0.27911201659233154"/>
          <c:w val="0.46772092270929505"/>
          <c:h val="0.6835919461116311"/>
        </c:manualLayout>
      </c:layout>
      <c:pieChart>
        <c:varyColors val="1"/>
        <c:ser>
          <c:idx val="0"/>
          <c:order val="0"/>
          <c:tx>
            <c:strRef>
              <c:f>'L...retail_sales_dataset  PROJE'!$AC$2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419-4D7F-AF34-DE65B07F29E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419-4D7F-AF34-DE65B07F29E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419-4D7F-AF34-DE65B07F29EA}"/>
              </c:ext>
            </c:extLst>
          </c:dPt>
          <c:cat>
            <c:strRef>
              <c:f>'L...retail_sales_dataset  PROJE'!$AB$3:$AB$6</c:f>
              <c:strCache>
                <c:ptCount val="3"/>
                <c:pt idx="0">
                  <c:v>Electronics</c:v>
                </c:pt>
                <c:pt idx="1">
                  <c:v>Clothing</c:v>
                </c:pt>
                <c:pt idx="2">
                  <c:v>Beauty</c:v>
                </c:pt>
              </c:strCache>
            </c:strRef>
          </c:cat>
          <c:val>
            <c:numRef>
              <c:f>'L...retail_sales_dataset  PROJE'!$AC$3:$AC$6</c:f>
              <c:numCache>
                <c:formatCode>General</c:formatCode>
                <c:ptCount val="3"/>
                <c:pt idx="0">
                  <c:v>62210</c:v>
                </c:pt>
                <c:pt idx="1">
                  <c:v>61175</c:v>
                </c:pt>
                <c:pt idx="2">
                  <c:v>56505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419-4D7F-AF34-DE65B07F2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project.xlsx]L...retail_sales_dataset  PROJE!PivotTable15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'L...retail_sales_dataset  PROJE'!$AC$9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'L...retail_sales_dataset  PROJE'!$AB$10:$AB$13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Beauty</c:v>
                </c:pt>
              </c:strCache>
            </c:strRef>
          </c:cat>
          <c:val>
            <c:numRef>
              <c:f>'L...retail_sales_dataset  PROJE'!$AC$10:$AC$13</c:f>
              <c:numCache>
                <c:formatCode>General</c:formatCode>
                <c:ptCount val="3"/>
                <c:pt idx="0">
                  <c:v>894</c:v>
                </c:pt>
                <c:pt idx="1">
                  <c:v>849</c:v>
                </c:pt>
                <c:pt idx="2">
                  <c:v>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E7-4EE6-B72B-FE8C252C8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8583600"/>
        <c:axId val="1578570704"/>
      </c:lineChart>
      <c:catAx>
        <c:axId val="157858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570704"/>
        <c:crosses val="autoZero"/>
        <c:auto val="1"/>
        <c:lblAlgn val="ctr"/>
        <c:lblOffset val="100"/>
        <c:noMultiLvlLbl val="0"/>
      </c:catAx>
      <c:valAx>
        <c:axId val="157857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583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project.xlsx]L...retail_sales_dataset  PROJE!PivotTable18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'L...retail_sales_dataset  PROJE'!$AC$16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'L...retail_sales_dataset  PROJE'!$AB$17:$AB$1017</c:f>
              <c:strCach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strCache>
            </c:strRef>
          </c:cat>
          <c:val>
            <c:numRef>
              <c:f>'L...retail_sales_dataset  PROJE'!$AC$17:$AC$1017</c:f>
              <c:numCache>
                <c:formatCode>General</c:formatCode>
                <c:ptCount val="1000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4</c:v>
                </c:pt>
                <c:pt idx="8">
                  <c:v>2</c:v>
                </c:pt>
                <c:pt idx="9">
                  <c:v>4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4</c:v>
                </c:pt>
                <c:pt idx="15">
                  <c:v>3</c:v>
                </c:pt>
                <c:pt idx="16">
                  <c:v>4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1</c:v>
                </c:pt>
                <c:pt idx="21">
                  <c:v>2</c:v>
                </c:pt>
                <c:pt idx="22">
                  <c:v>4</c:v>
                </c:pt>
                <c:pt idx="23">
                  <c:v>1</c:v>
                </c:pt>
                <c:pt idx="24">
                  <c:v>1</c:v>
                </c:pt>
                <c:pt idx="25">
                  <c:v>2</c:v>
                </c:pt>
                <c:pt idx="26">
                  <c:v>2</c:v>
                </c:pt>
                <c:pt idx="27">
                  <c:v>1</c:v>
                </c:pt>
                <c:pt idx="28">
                  <c:v>1</c:v>
                </c:pt>
                <c:pt idx="29">
                  <c:v>3</c:v>
                </c:pt>
                <c:pt idx="30">
                  <c:v>4</c:v>
                </c:pt>
                <c:pt idx="31">
                  <c:v>3</c:v>
                </c:pt>
                <c:pt idx="32">
                  <c:v>2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4</c:v>
                </c:pt>
                <c:pt idx="38">
                  <c:v>4</c:v>
                </c:pt>
                <c:pt idx="39">
                  <c:v>1</c:v>
                </c:pt>
                <c:pt idx="40">
                  <c:v>2</c:v>
                </c:pt>
                <c:pt idx="41">
                  <c:v>3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4</c:v>
                </c:pt>
                <c:pt idx="46">
                  <c:v>3</c:v>
                </c:pt>
                <c:pt idx="47">
                  <c:v>3</c:v>
                </c:pt>
                <c:pt idx="48">
                  <c:v>2</c:v>
                </c:pt>
                <c:pt idx="49">
                  <c:v>3</c:v>
                </c:pt>
                <c:pt idx="50">
                  <c:v>3</c:v>
                </c:pt>
                <c:pt idx="51">
                  <c:v>1</c:v>
                </c:pt>
                <c:pt idx="52">
                  <c:v>2</c:v>
                </c:pt>
                <c:pt idx="53">
                  <c:v>3</c:v>
                </c:pt>
                <c:pt idx="54">
                  <c:v>4</c:v>
                </c:pt>
                <c:pt idx="55">
                  <c:v>3</c:v>
                </c:pt>
                <c:pt idx="56">
                  <c:v>1</c:v>
                </c:pt>
                <c:pt idx="57">
                  <c:v>4</c:v>
                </c:pt>
                <c:pt idx="58">
                  <c:v>1</c:v>
                </c:pt>
                <c:pt idx="59">
                  <c:v>3</c:v>
                </c:pt>
                <c:pt idx="60">
                  <c:v>4</c:v>
                </c:pt>
                <c:pt idx="61">
                  <c:v>2</c:v>
                </c:pt>
                <c:pt idx="62">
                  <c:v>2</c:v>
                </c:pt>
                <c:pt idx="63">
                  <c:v>4</c:v>
                </c:pt>
                <c:pt idx="64">
                  <c:v>4</c:v>
                </c:pt>
                <c:pt idx="65">
                  <c:v>1</c:v>
                </c:pt>
                <c:pt idx="66">
                  <c:v>4</c:v>
                </c:pt>
                <c:pt idx="67">
                  <c:v>1</c:v>
                </c:pt>
                <c:pt idx="68">
                  <c:v>3</c:v>
                </c:pt>
                <c:pt idx="69">
                  <c:v>1</c:v>
                </c:pt>
                <c:pt idx="70">
                  <c:v>4</c:v>
                </c:pt>
                <c:pt idx="71">
                  <c:v>4</c:v>
                </c:pt>
                <c:pt idx="72">
                  <c:v>3</c:v>
                </c:pt>
                <c:pt idx="73">
                  <c:v>4</c:v>
                </c:pt>
                <c:pt idx="74">
                  <c:v>4</c:v>
                </c:pt>
                <c:pt idx="75">
                  <c:v>2</c:v>
                </c:pt>
                <c:pt idx="76">
                  <c:v>2</c:v>
                </c:pt>
                <c:pt idx="77">
                  <c:v>3</c:v>
                </c:pt>
                <c:pt idx="78">
                  <c:v>1</c:v>
                </c:pt>
                <c:pt idx="79">
                  <c:v>2</c:v>
                </c:pt>
                <c:pt idx="80">
                  <c:v>1</c:v>
                </c:pt>
                <c:pt idx="81">
                  <c:v>4</c:v>
                </c:pt>
                <c:pt idx="82">
                  <c:v>2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2</c:v>
                </c:pt>
                <c:pt idx="87">
                  <c:v>1</c:v>
                </c:pt>
                <c:pt idx="88">
                  <c:v>4</c:v>
                </c:pt>
                <c:pt idx="89">
                  <c:v>1</c:v>
                </c:pt>
                <c:pt idx="90">
                  <c:v>1</c:v>
                </c:pt>
                <c:pt idx="91">
                  <c:v>4</c:v>
                </c:pt>
                <c:pt idx="92">
                  <c:v>4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4</c:v>
                </c:pt>
                <c:pt idx="99">
                  <c:v>1</c:v>
                </c:pt>
                <c:pt idx="100">
                  <c:v>2</c:v>
                </c:pt>
                <c:pt idx="101">
                  <c:v>2</c:v>
                </c:pt>
                <c:pt idx="102">
                  <c:v>1</c:v>
                </c:pt>
                <c:pt idx="103">
                  <c:v>2</c:v>
                </c:pt>
                <c:pt idx="104">
                  <c:v>1</c:v>
                </c:pt>
                <c:pt idx="105">
                  <c:v>1</c:v>
                </c:pt>
                <c:pt idx="106">
                  <c:v>4</c:v>
                </c:pt>
                <c:pt idx="107">
                  <c:v>3</c:v>
                </c:pt>
                <c:pt idx="108">
                  <c:v>4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2</c:v>
                </c:pt>
                <c:pt idx="113">
                  <c:v>4</c:v>
                </c:pt>
                <c:pt idx="114">
                  <c:v>3</c:v>
                </c:pt>
                <c:pt idx="115">
                  <c:v>1</c:v>
                </c:pt>
                <c:pt idx="116">
                  <c:v>2</c:v>
                </c:pt>
                <c:pt idx="117">
                  <c:v>4</c:v>
                </c:pt>
                <c:pt idx="118">
                  <c:v>3</c:v>
                </c:pt>
                <c:pt idx="119">
                  <c:v>1</c:v>
                </c:pt>
                <c:pt idx="120">
                  <c:v>4</c:v>
                </c:pt>
                <c:pt idx="121">
                  <c:v>4</c:v>
                </c:pt>
                <c:pt idx="122">
                  <c:v>2</c:v>
                </c:pt>
                <c:pt idx="123">
                  <c:v>4</c:v>
                </c:pt>
                <c:pt idx="124">
                  <c:v>2</c:v>
                </c:pt>
                <c:pt idx="125">
                  <c:v>3</c:v>
                </c:pt>
                <c:pt idx="126">
                  <c:v>2</c:v>
                </c:pt>
                <c:pt idx="127">
                  <c:v>1</c:v>
                </c:pt>
                <c:pt idx="128">
                  <c:v>2</c:v>
                </c:pt>
                <c:pt idx="129">
                  <c:v>1</c:v>
                </c:pt>
                <c:pt idx="130">
                  <c:v>2</c:v>
                </c:pt>
                <c:pt idx="131">
                  <c:v>4</c:v>
                </c:pt>
                <c:pt idx="132">
                  <c:v>3</c:v>
                </c:pt>
                <c:pt idx="133">
                  <c:v>1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4</c:v>
                </c:pt>
                <c:pt idx="138">
                  <c:v>4</c:v>
                </c:pt>
                <c:pt idx="139">
                  <c:v>1</c:v>
                </c:pt>
                <c:pt idx="140">
                  <c:v>1</c:v>
                </c:pt>
                <c:pt idx="141">
                  <c:v>4</c:v>
                </c:pt>
                <c:pt idx="142">
                  <c:v>1</c:v>
                </c:pt>
                <c:pt idx="143">
                  <c:v>3</c:v>
                </c:pt>
                <c:pt idx="144">
                  <c:v>3</c:v>
                </c:pt>
                <c:pt idx="145">
                  <c:v>4</c:v>
                </c:pt>
                <c:pt idx="146">
                  <c:v>1</c:v>
                </c:pt>
                <c:pt idx="147">
                  <c:v>2</c:v>
                </c:pt>
                <c:pt idx="148">
                  <c:v>3</c:v>
                </c:pt>
                <c:pt idx="149">
                  <c:v>4</c:v>
                </c:pt>
                <c:pt idx="150">
                  <c:v>1</c:v>
                </c:pt>
                <c:pt idx="151">
                  <c:v>4</c:v>
                </c:pt>
                <c:pt idx="152">
                  <c:v>2</c:v>
                </c:pt>
                <c:pt idx="153">
                  <c:v>3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2</c:v>
                </c:pt>
                <c:pt idx="158">
                  <c:v>4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3</c:v>
                </c:pt>
                <c:pt idx="163">
                  <c:v>3</c:v>
                </c:pt>
                <c:pt idx="164">
                  <c:v>4</c:v>
                </c:pt>
                <c:pt idx="165">
                  <c:v>4</c:v>
                </c:pt>
                <c:pt idx="166">
                  <c:v>3</c:v>
                </c:pt>
                <c:pt idx="167">
                  <c:v>1</c:v>
                </c:pt>
                <c:pt idx="168">
                  <c:v>3</c:v>
                </c:pt>
                <c:pt idx="169">
                  <c:v>2</c:v>
                </c:pt>
                <c:pt idx="170">
                  <c:v>3</c:v>
                </c:pt>
                <c:pt idx="171">
                  <c:v>2</c:v>
                </c:pt>
                <c:pt idx="172">
                  <c:v>4</c:v>
                </c:pt>
                <c:pt idx="173">
                  <c:v>1</c:v>
                </c:pt>
                <c:pt idx="174">
                  <c:v>4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1</c:v>
                </c:pt>
                <c:pt idx="179">
                  <c:v>3</c:v>
                </c:pt>
                <c:pt idx="180">
                  <c:v>4</c:v>
                </c:pt>
                <c:pt idx="181">
                  <c:v>4</c:v>
                </c:pt>
                <c:pt idx="182">
                  <c:v>3</c:v>
                </c:pt>
                <c:pt idx="183">
                  <c:v>4</c:v>
                </c:pt>
                <c:pt idx="184">
                  <c:v>1</c:v>
                </c:pt>
                <c:pt idx="185">
                  <c:v>4</c:v>
                </c:pt>
                <c:pt idx="186">
                  <c:v>2</c:v>
                </c:pt>
                <c:pt idx="187">
                  <c:v>3</c:v>
                </c:pt>
                <c:pt idx="188">
                  <c:v>1</c:v>
                </c:pt>
                <c:pt idx="189">
                  <c:v>3</c:v>
                </c:pt>
                <c:pt idx="190">
                  <c:v>1</c:v>
                </c:pt>
                <c:pt idx="191">
                  <c:v>2</c:v>
                </c:pt>
                <c:pt idx="192">
                  <c:v>3</c:v>
                </c:pt>
                <c:pt idx="193">
                  <c:v>4</c:v>
                </c:pt>
                <c:pt idx="194">
                  <c:v>1</c:v>
                </c:pt>
                <c:pt idx="195">
                  <c:v>3</c:v>
                </c:pt>
                <c:pt idx="196">
                  <c:v>4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1</c:v>
                </c:pt>
                <c:pt idx="201">
                  <c:v>4</c:v>
                </c:pt>
                <c:pt idx="202">
                  <c:v>2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2</c:v>
                </c:pt>
                <c:pt idx="207">
                  <c:v>4</c:v>
                </c:pt>
                <c:pt idx="208">
                  <c:v>4</c:v>
                </c:pt>
                <c:pt idx="209">
                  <c:v>4</c:v>
                </c:pt>
                <c:pt idx="210">
                  <c:v>3</c:v>
                </c:pt>
                <c:pt idx="211">
                  <c:v>3</c:v>
                </c:pt>
                <c:pt idx="212">
                  <c:v>3</c:v>
                </c:pt>
                <c:pt idx="213">
                  <c:v>2</c:v>
                </c:pt>
                <c:pt idx="214">
                  <c:v>3</c:v>
                </c:pt>
                <c:pt idx="215">
                  <c:v>2</c:v>
                </c:pt>
                <c:pt idx="216">
                  <c:v>4</c:v>
                </c:pt>
                <c:pt idx="217">
                  <c:v>3</c:v>
                </c:pt>
                <c:pt idx="218">
                  <c:v>3</c:v>
                </c:pt>
                <c:pt idx="219">
                  <c:v>1</c:v>
                </c:pt>
                <c:pt idx="220">
                  <c:v>2</c:v>
                </c:pt>
                <c:pt idx="221">
                  <c:v>4</c:v>
                </c:pt>
                <c:pt idx="222">
                  <c:v>1</c:v>
                </c:pt>
                <c:pt idx="223">
                  <c:v>1</c:v>
                </c:pt>
                <c:pt idx="224">
                  <c:v>4</c:v>
                </c:pt>
                <c:pt idx="225">
                  <c:v>1</c:v>
                </c:pt>
                <c:pt idx="226">
                  <c:v>2</c:v>
                </c:pt>
                <c:pt idx="227">
                  <c:v>2</c:v>
                </c:pt>
                <c:pt idx="228">
                  <c:v>3</c:v>
                </c:pt>
                <c:pt idx="229">
                  <c:v>1</c:v>
                </c:pt>
                <c:pt idx="230">
                  <c:v>3</c:v>
                </c:pt>
                <c:pt idx="231">
                  <c:v>1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1</c:v>
                </c:pt>
                <c:pt idx="236">
                  <c:v>2</c:v>
                </c:pt>
                <c:pt idx="237">
                  <c:v>1</c:v>
                </c:pt>
                <c:pt idx="238">
                  <c:v>3</c:v>
                </c:pt>
                <c:pt idx="239">
                  <c:v>1</c:v>
                </c:pt>
                <c:pt idx="240">
                  <c:v>3</c:v>
                </c:pt>
                <c:pt idx="241">
                  <c:v>1</c:v>
                </c:pt>
                <c:pt idx="242">
                  <c:v>3</c:v>
                </c:pt>
                <c:pt idx="243">
                  <c:v>2</c:v>
                </c:pt>
                <c:pt idx="244">
                  <c:v>3</c:v>
                </c:pt>
                <c:pt idx="245">
                  <c:v>2</c:v>
                </c:pt>
                <c:pt idx="246">
                  <c:v>2</c:v>
                </c:pt>
                <c:pt idx="247">
                  <c:v>3</c:v>
                </c:pt>
                <c:pt idx="248">
                  <c:v>1</c:v>
                </c:pt>
                <c:pt idx="249">
                  <c:v>1</c:v>
                </c:pt>
                <c:pt idx="250">
                  <c:v>4</c:v>
                </c:pt>
                <c:pt idx="251">
                  <c:v>1</c:v>
                </c:pt>
                <c:pt idx="252">
                  <c:v>4</c:v>
                </c:pt>
                <c:pt idx="253">
                  <c:v>1</c:v>
                </c:pt>
                <c:pt idx="254">
                  <c:v>1</c:v>
                </c:pt>
                <c:pt idx="255">
                  <c:v>2</c:v>
                </c:pt>
                <c:pt idx="256">
                  <c:v>4</c:v>
                </c:pt>
                <c:pt idx="257">
                  <c:v>1</c:v>
                </c:pt>
                <c:pt idx="258">
                  <c:v>4</c:v>
                </c:pt>
                <c:pt idx="259">
                  <c:v>2</c:v>
                </c:pt>
                <c:pt idx="260">
                  <c:v>2</c:v>
                </c:pt>
                <c:pt idx="261">
                  <c:v>4</c:v>
                </c:pt>
                <c:pt idx="262">
                  <c:v>2</c:v>
                </c:pt>
                <c:pt idx="263">
                  <c:v>3</c:v>
                </c:pt>
                <c:pt idx="264">
                  <c:v>3</c:v>
                </c:pt>
                <c:pt idx="265">
                  <c:v>2</c:v>
                </c:pt>
                <c:pt idx="266">
                  <c:v>3</c:v>
                </c:pt>
                <c:pt idx="267">
                  <c:v>1</c:v>
                </c:pt>
                <c:pt idx="268">
                  <c:v>4</c:v>
                </c:pt>
                <c:pt idx="269">
                  <c:v>1</c:v>
                </c:pt>
                <c:pt idx="270">
                  <c:v>4</c:v>
                </c:pt>
                <c:pt idx="271">
                  <c:v>2</c:v>
                </c:pt>
                <c:pt idx="272">
                  <c:v>1</c:v>
                </c:pt>
                <c:pt idx="273">
                  <c:v>2</c:v>
                </c:pt>
                <c:pt idx="274">
                  <c:v>2</c:v>
                </c:pt>
                <c:pt idx="275">
                  <c:v>4</c:v>
                </c:pt>
                <c:pt idx="276">
                  <c:v>4</c:v>
                </c:pt>
                <c:pt idx="277">
                  <c:v>4</c:v>
                </c:pt>
                <c:pt idx="278">
                  <c:v>1</c:v>
                </c:pt>
                <c:pt idx="279">
                  <c:v>3</c:v>
                </c:pt>
                <c:pt idx="280">
                  <c:v>4</c:v>
                </c:pt>
                <c:pt idx="281">
                  <c:v>4</c:v>
                </c:pt>
                <c:pt idx="282">
                  <c:v>1</c:v>
                </c:pt>
                <c:pt idx="283">
                  <c:v>4</c:v>
                </c:pt>
                <c:pt idx="284">
                  <c:v>1</c:v>
                </c:pt>
                <c:pt idx="285">
                  <c:v>2</c:v>
                </c:pt>
                <c:pt idx="286">
                  <c:v>4</c:v>
                </c:pt>
                <c:pt idx="287">
                  <c:v>4</c:v>
                </c:pt>
                <c:pt idx="288">
                  <c:v>2</c:v>
                </c:pt>
                <c:pt idx="289">
                  <c:v>2</c:v>
                </c:pt>
                <c:pt idx="290">
                  <c:v>2</c:v>
                </c:pt>
                <c:pt idx="291">
                  <c:v>4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4</c:v>
                </c:pt>
                <c:pt idx="296">
                  <c:v>2</c:v>
                </c:pt>
                <c:pt idx="297">
                  <c:v>4</c:v>
                </c:pt>
                <c:pt idx="298">
                  <c:v>2</c:v>
                </c:pt>
                <c:pt idx="299">
                  <c:v>4</c:v>
                </c:pt>
                <c:pt idx="300">
                  <c:v>4</c:v>
                </c:pt>
                <c:pt idx="301">
                  <c:v>2</c:v>
                </c:pt>
                <c:pt idx="302">
                  <c:v>3</c:v>
                </c:pt>
                <c:pt idx="303">
                  <c:v>2</c:v>
                </c:pt>
                <c:pt idx="304">
                  <c:v>1</c:v>
                </c:pt>
                <c:pt idx="305">
                  <c:v>1</c:v>
                </c:pt>
                <c:pt idx="306">
                  <c:v>2</c:v>
                </c:pt>
                <c:pt idx="307">
                  <c:v>4</c:v>
                </c:pt>
                <c:pt idx="308">
                  <c:v>1</c:v>
                </c:pt>
                <c:pt idx="309">
                  <c:v>1</c:v>
                </c:pt>
                <c:pt idx="310">
                  <c:v>4</c:v>
                </c:pt>
                <c:pt idx="311">
                  <c:v>4</c:v>
                </c:pt>
                <c:pt idx="312">
                  <c:v>3</c:v>
                </c:pt>
                <c:pt idx="313">
                  <c:v>4</c:v>
                </c:pt>
                <c:pt idx="314">
                  <c:v>2</c:v>
                </c:pt>
                <c:pt idx="315">
                  <c:v>2</c:v>
                </c:pt>
                <c:pt idx="316">
                  <c:v>3</c:v>
                </c:pt>
                <c:pt idx="317">
                  <c:v>1</c:v>
                </c:pt>
                <c:pt idx="318">
                  <c:v>1</c:v>
                </c:pt>
                <c:pt idx="319">
                  <c:v>4</c:v>
                </c:pt>
                <c:pt idx="320">
                  <c:v>2</c:v>
                </c:pt>
                <c:pt idx="321">
                  <c:v>1</c:v>
                </c:pt>
                <c:pt idx="322">
                  <c:v>3</c:v>
                </c:pt>
                <c:pt idx="323">
                  <c:v>3</c:v>
                </c:pt>
                <c:pt idx="324">
                  <c:v>2</c:v>
                </c:pt>
                <c:pt idx="325">
                  <c:v>3</c:v>
                </c:pt>
                <c:pt idx="326">
                  <c:v>3</c:v>
                </c:pt>
                <c:pt idx="327">
                  <c:v>2</c:v>
                </c:pt>
                <c:pt idx="328">
                  <c:v>4</c:v>
                </c:pt>
                <c:pt idx="329">
                  <c:v>4</c:v>
                </c:pt>
                <c:pt idx="330">
                  <c:v>3</c:v>
                </c:pt>
                <c:pt idx="331">
                  <c:v>4</c:v>
                </c:pt>
                <c:pt idx="332">
                  <c:v>4</c:v>
                </c:pt>
                <c:pt idx="333">
                  <c:v>3</c:v>
                </c:pt>
                <c:pt idx="334">
                  <c:v>4</c:v>
                </c:pt>
                <c:pt idx="335">
                  <c:v>3</c:v>
                </c:pt>
                <c:pt idx="336">
                  <c:v>1</c:v>
                </c:pt>
                <c:pt idx="337">
                  <c:v>2</c:v>
                </c:pt>
                <c:pt idx="338">
                  <c:v>2</c:v>
                </c:pt>
                <c:pt idx="339">
                  <c:v>4</c:v>
                </c:pt>
                <c:pt idx="340">
                  <c:v>4</c:v>
                </c:pt>
                <c:pt idx="341">
                  <c:v>4</c:v>
                </c:pt>
                <c:pt idx="342">
                  <c:v>2</c:v>
                </c:pt>
                <c:pt idx="343">
                  <c:v>1</c:v>
                </c:pt>
                <c:pt idx="344">
                  <c:v>1</c:v>
                </c:pt>
                <c:pt idx="345">
                  <c:v>2</c:v>
                </c:pt>
                <c:pt idx="346">
                  <c:v>1</c:v>
                </c:pt>
                <c:pt idx="347">
                  <c:v>2</c:v>
                </c:pt>
                <c:pt idx="348">
                  <c:v>1</c:v>
                </c:pt>
                <c:pt idx="349">
                  <c:v>3</c:v>
                </c:pt>
                <c:pt idx="350">
                  <c:v>3</c:v>
                </c:pt>
                <c:pt idx="351">
                  <c:v>2</c:v>
                </c:pt>
                <c:pt idx="352">
                  <c:v>1</c:v>
                </c:pt>
                <c:pt idx="353">
                  <c:v>4</c:v>
                </c:pt>
                <c:pt idx="354">
                  <c:v>1</c:v>
                </c:pt>
                <c:pt idx="355">
                  <c:v>3</c:v>
                </c:pt>
                <c:pt idx="356">
                  <c:v>3</c:v>
                </c:pt>
                <c:pt idx="357">
                  <c:v>1</c:v>
                </c:pt>
                <c:pt idx="358">
                  <c:v>1</c:v>
                </c:pt>
                <c:pt idx="359">
                  <c:v>4</c:v>
                </c:pt>
                <c:pt idx="360">
                  <c:v>4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2</c:v>
                </c:pt>
                <c:pt idx="366">
                  <c:v>1</c:v>
                </c:pt>
                <c:pt idx="367">
                  <c:v>4</c:v>
                </c:pt>
                <c:pt idx="368">
                  <c:v>3</c:v>
                </c:pt>
                <c:pt idx="369">
                  <c:v>2</c:v>
                </c:pt>
                <c:pt idx="370">
                  <c:v>1</c:v>
                </c:pt>
                <c:pt idx="371">
                  <c:v>3</c:v>
                </c:pt>
                <c:pt idx="372">
                  <c:v>2</c:v>
                </c:pt>
                <c:pt idx="373">
                  <c:v>3</c:v>
                </c:pt>
                <c:pt idx="374">
                  <c:v>1</c:v>
                </c:pt>
                <c:pt idx="375">
                  <c:v>1</c:v>
                </c:pt>
                <c:pt idx="376">
                  <c:v>4</c:v>
                </c:pt>
                <c:pt idx="377">
                  <c:v>1</c:v>
                </c:pt>
                <c:pt idx="378">
                  <c:v>1</c:v>
                </c:pt>
                <c:pt idx="379">
                  <c:v>2</c:v>
                </c:pt>
                <c:pt idx="380">
                  <c:v>4</c:v>
                </c:pt>
                <c:pt idx="381">
                  <c:v>2</c:v>
                </c:pt>
                <c:pt idx="382">
                  <c:v>3</c:v>
                </c:pt>
                <c:pt idx="383">
                  <c:v>1</c:v>
                </c:pt>
                <c:pt idx="384">
                  <c:v>3</c:v>
                </c:pt>
                <c:pt idx="385">
                  <c:v>2</c:v>
                </c:pt>
                <c:pt idx="386">
                  <c:v>1</c:v>
                </c:pt>
                <c:pt idx="387">
                  <c:v>1</c:v>
                </c:pt>
                <c:pt idx="388">
                  <c:v>2</c:v>
                </c:pt>
                <c:pt idx="389">
                  <c:v>2</c:v>
                </c:pt>
                <c:pt idx="390">
                  <c:v>2</c:v>
                </c:pt>
                <c:pt idx="391">
                  <c:v>2</c:v>
                </c:pt>
                <c:pt idx="392">
                  <c:v>2</c:v>
                </c:pt>
                <c:pt idx="393">
                  <c:v>1</c:v>
                </c:pt>
                <c:pt idx="394">
                  <c:v>2</c:v>
                </c:pt>
                <c:pt idx="395">
                  <c:v>1</c:v>
                </c:pt>
                <c:pt idx="396">
                  <c:v>1</c:v>
                </c:pt>
                <c:pt idx="397">
                  <c:v>2</c:v>
                </c:pt>
                <c:pt idx="398">
                  <c:v>2</c:v>
                </c:pt>
                <c:pt idx="399">
                  <c:v>4</c:v>
                </c:pt>
                <c:pt idx="400">
                  <c:v>1</c:v>
                </c:pt>
                <c:pt idx="401">
                  <c:v>2</c:v>
                </c:pt>
                <c:pt idx="402">
                  <c:v>2</c:v>
                </c:pt>
                <c:pt idx="403">
                  <c:v>2</c:v>
                </c:pt>
                <c:pt idx="404">
                  <c:v>4</c:v>
                </c:pt>
                <c:pt idx="405">
                  <c:v>4</c:v>
                </c:pt>
                <c:pt idx="406">
                  <c:v>3</c:v>
                </c:pt>
                <c:pt idx="407">
                  <c:v>1</c:v>
                </c:pt>
                <c:pt idx="408">
                  <c:v>3</c:v>
                </c:pt>
                <c:pt idx="409">
                  <c:v>2</c:v>
                </c:pt>
                <c:pt idx="410">
                  <c:v>4</c:v>
                </c:pt>
                <c:pt idx="411">
                  <c:v>4</c:v>
                </c:pt>
                <c:pt idx="412">
                  <c:v>3</c:v>
                </c:pt>
                <c:pt idx="413">
                  <c:v>4</c:v>
                </c:pt>
                <c:pt idx="414">
                  <c:v>2</c:v>
                </c:pt>
                <c:pt idx="415">
                  <c:v>4</c:v>
                </c:pt>
                <c:pt idx="416">
                  <c:v>3</c:v>
                </c:pt>
                <c:pt idx="417">
                  <c:v>2</c:v>
                </c:pt>
                <c:pt idx="418">
                  <c:v>3</c:v>
                </c:pt>
                <c:pt idx="419">
                  <c:v>4</c:v>
                </c:pt>
                <c:pt idx="420">
                  <c:v>3</c:v>
                </c:pt>
                <c:pt idx="421">
                  <c:v>3</c:v>
                </c:pt>
                <c:pt idx="422">
                  <c:v>1</c:v>
                </c:pt>
                <c:pt idx="423">
                  <c:v>4</c:v>
                </c:pt>
                <c:pt idx="424">
                  <c:v>4</c:v>
                </c:pt>
                <c:pt idx="425">
                  <c:v>3</c:v>
                </c:pt>
                <c:pt idx="426">
                  <c:v>1</c:v>
                </c:pt>
                <c:pt idx="427">
                  <c:v>4</c:v>
                </c:pt>
                <c:pt idx="428">
                  <c:v>2</c:v>
                </c:pt>
                <c:pt idx="429">
                  <c:v>3</c:v>
                </c:pt>
                <c:pt idx="430">
                  <c:v>4</c:v>
                </c:pt>
                <c:pt idx="431">
                  <c:v>2</c:v>
                </c:pt>
                <c:pt idx="432">
                  <c:v>4</c:v>
                </c:pt>
                <c:pt idx="433">
                  <c:v>2</c:v>
                </c:pt>
                <c:pt idx="434">
                  <c:v>3</c:v>
                </c:pt>
                <c:pt idx="435">
                  <c:v>4</c:v>
                </c:pt>
                <c:pt idx="436">
                  <c:v>4</c:v>
                </c:pt>
                <c:pt idx="437">
                  <c:v>1</c:v>
                </c:pt>
                <c:pt idx="438">
                  <c:v>3</c:v>
                </c:pt>
                <c:pt idx="439">
                  <c:v>2</c:v>
                </c:pt>
                <c:pt idx="440">
                  <c:v>4</c:v>
                </c:pt>
                <c:pt idx="441">
                  <c:v>4</c:v>
                </c:pt>
                <c:pt idx="442">
                  <c:v>2</c:v>
                </c:pt>
                <c:pt idx="443">
                  <c:v>3</c:v>
                </c:pt>
                <c:pt idx="444">
                  <c:v>1</c:v>
                </c:pt>
                <c:pt idx="445">
                  <c:v>1</c:v>
                </c:pt>
                <c:pt idx="446">
                  <c:v>4</c:v>
                </c:pt>
                <c:pt idx="447">
                  <c:v>2</c:v>
                </c:pt>
                <c:pt idx="448">
                  <c:v>4</c:v>
                </c:pt>
                <c:pt idx="449">
                  <c:v>2</c:v>
                </c:pt>
                <c:pt idx="450">
                  <c:v>1</c:v>
                </c:pt>
                <c:pt idx="451">
                  <c:v>3</c:v>
                </c:pt>
                <c:pt idx="452">
                  <c:v>2</c:v>
                </c:pt>
                <c:pt idx="453">
                  <c:v>1</c:v>
                </c:pt>
                <c:pt idx="454">
                  <c:v>4</c:v>
                </c:pt>
                <c:pt idx="455">
                  <c:v>2</c:v>
                </c:pt>
                <c:pt idx="456">
                  <c:v>3</c:v>
                </c:pt>
                <c:pt idx="457">
                  <c:v>4</c:v>
                </c:pt>
                <c:pt idx="458">
                  <c:v>4</c:v>
                </c:pt>
                <c:pt idx="459">
                  <c:v>1</c:v>
                </c:pt>
                <c:pt idx="460">
                  <c:v>2</c:v>
                </c:pt>
                <c:pt idx="461">
                  <c:v>4</c:v>
                </c:pt>
                <c:pt idx="462">
                  <c:v>3</c:v>
                </c:pt>
                <c:pt idx="463">
                  <c:v>2</c:v>
                </c:pt>
                <c:pt idx="464">
                  <c:v>3</c:v>
                </c:pt>
                <c:pt idx="465">
                  <c:v>4</c:v>
                </c:pt>
                <c:pt idx="466">
                  <c:v>3</c:v>
                </c:pt>
                <c:pt idx="467">
                  <c:v>1</c:v>
                </c:pt>
                <c:pt idx="468">
                  <c:v>3</c:v>
                </c:pt>
                <c:pt idx="469">
                  <c:v>2</c:v>
                </c:pt>
                <c:pt idx="470">
                  <c:v>3</c:v>
                </c:pt>
                <c:pt idx="471">
                  <c:v>3</c:v>
                </c:pt>
                <c:pt idx="472">
                  <c:v>1</c:v>
                </c:pt>
                <c:pt idx="473">
                  <c:v>3</c:v>
                </c:pt>
                <c:pt idx="474">
                  <c:v>3</c:v>
                </c:pt>
                <c:pt idx="475">
                  <c:v>4</c:v>
                </c:pt>
                <c:pt idx="476">
                  <c:v>4</c:v>
                </c:pt>
                <c:pt idx="477">
                  <c:v>2</c:v>
                </c:pt>
                <c:pt idx="478">
                  <c:v>4</c:v>
                </c:pt>
                <c:pt idx="479">
                  <c:v>4</c:v>
                </c:pt>
                <c:pt idx="480">
                  <c:v>4</c:v>
                </c:pt>
                <c:pt idx="481">
                  <c:v>4</c:v>
                </c:pt>
                <c:pt idx="482">
                  <c:v>1</c:v>
                </c:pt>
                <c:pt idx="483">
                  <c:v>4</c:v>
                </c:pt>
                <c:pt idx="484">
                  <c:v>1</c:v>
                </c:pt>
                <c:pt idx="485">
                  <c:v>1</c:v>
                </c:pt>
                <c:pt idx="486">
                  <c:v>4</c:v>
                </c:pt>
                <c:pt idx="487">
                  <c:v>3</c:v>
                </c:pt>
                <c:pt idx="488">
                  <c:v>1</c:v>
                </c:pt>
                <c:pt idx="489">
                  <c:v>3</c:v>
                </c:pt>
                <c:pt idx="490">
                  <c:v>3</c:v>
                </c:pt>
                <c:pt idx="491">
                  <c:v>4</c:v>
                </c:pt>
                <c:pt idx="492">
                  <c:v>2</c:v>
                </c:pt>
                <c:pt idx="493">
                  <c:v>4</c:v>
                </c:pt>
                <c:pt idx="494">
                  <c:v>2</c:v>
                </c:pt>
                <c:pt idx="495">
                  <c:v>2</c:v>
                </c:pt>
                <c:pt idx="496">
                  <c:v>4</c:v>
                </c:pt>
                <c:pt idx="497">
                  <c:v>4</c:v>
                </c:pt>
                <c:pt idx="498">
                  <c:v>2</c:v>
                </c:pt>
                <c:pt idx="499">
                  <c:v>4</c:v>
                </c:pt>
                <c:pt idx="500">
                  <c:v>2</c:v>
                </c:pt>
                <c:pt idx="501">
                  <c:v>3</c:v>
                </c:pt>
                <c:pt idx="502">
                  <c:v>4</c:v>
                </c:pt>
                <c:pt idx="503">
                  <c:v>3</c:v>
                </c:pt>
                <c:pt idx="504">
                  <c:v>1</c:v>
                </c:pt>
                <c:pt idx="505">
                  <c:v>3</c:v>
                </c:pt>
                <c:pt idx="506">
                  <c:v>3</c:v>
                </c:pt>
                <c:pt idx="507">
                  <c:v>2</c:v>
                </c:pt>
                <c:pt idx="508">
                  <c:v>3</c:v>
                </c:pt>
                <c:pt idx="509">
                  <c:v>4</c:v>
                </c:pt>
                <c:pt idx="510">
                  <c:v>2</c:v>
                </c:pt>
                <c:pt idx="511">
                  <c:v>1</c:v>
                </c:pt>
                <c:pt idx="512">
                  <c:v>4</c:v>
                </c:pt>
                <c:pt idx="513">
                  <c:v>1</c:v>
                </c:pt>
                <c:pt idx="514">
                  <c:v>3</c:v>
                </c:pt>
                <c:pt idx="515">
                  <c:v>4</c:v>
                </c:pt>
                <c:pt idx="516">
                  <c:v>4</c:v>
                </c:pt>
                <c:pt idx="517">
                  <c:v>1</c:v>
                </c:pt>
                <c:pt idx="518">
                  <c:v>4</c:v>
                </c:pt>
                <c:pt idx="519">
                  <c:v>4</c:v>
                </c:pt>
                <c:pt idx="520">
                  <c:v>4</c:v>
                </c:pt>
                <c:pt idx="521">
                  <c:v>3</c:v>
                </c:pt>
                <c:pt idx="522">
                  <c:v>1</c:v>
                </c:pt>
                <c:pt idx="523">
                  <c:v>4</c:v>
                </c:pt>
                <c:pt idx="524">
                  <c:v>2</c:v>
                </c:pt>
                <c:pt idx="525">
                  <c:v>2</c:v>
                </c:pt>
                <c:pt idx="526">
                  <c:v>2</c:v>
                </c:pt>
                <c:pt idx="527">
                  <c:v>2</c:v>
                </c:pt>
                <c:pt idx="528">
                  <c:v>3</c:v>
                </c:pt>
                <c:pt idx="529">
                  <c:v>4</c:v>
                </c:pt>
                <c:pt idx="530">
                  <c:v>1</c:v>
                </c:pt>
                <c:pt idx="531">
                  <c:v>4</c:v>
                </c:pt>
                <c:pt idx="532">
                  <c:v>3</c:v>
                </c:pt>
                <c:pt idx="533">
                  <c:v>2</c:v>
                </c:pt>
                <c:pt idx="534">
                  <c:v>3</c:v>
                </c:pt>
                <c:pt idx="535">
                  <c:v>4</c:v>
                </c:pt>
                <c:pt idx="536">
                  <c:v>1</c:v>
                </c:pt>
                <c:pt idx="537">
                  <c:v>3</c:v>
                </c:pt>
                <c:pt idx="538">
                  <c:v>1</c:v>
                </c:pt>
                <c:pt idx="539">
                  <c:v>3</c:v>
                </c:pt>
                <c:pt idx="540">
                  <c:v>1</c:v>
                </c:pt>
                <c:pt idx="541">
                  <c:v>1</c:v>
                </c:pt>
                <c:pt idx="542">
                  <c:v>2</c:v>
                </c:pt>
                <c:pt idx="543">
                  <c:v>1</c:v>
                </c:pt>
                <c:pt idx="544">
                  <c:v>2</c:v>
                </c:pt>
                <c:pt idx="545">
                  <c:v>4</c:v>
                </c:pt>
                <c:pt idx="546">
                  <c:v>4</c:v>
                </c:pt>
                <c:pt idx="547">
                  <c:v>2</c:v>
                </c:pt>
                <c:pt idx="548">
                  <c:v>2</c:v>
                </c:pt>
                <c:pt idx="549">
                  <c:v>3</c:v>
                </c:pt>
                <c:pt idx="550">
                  <c:v>3</c:v>
                </c:pt>
                <c:pt idx="551">
                  <c:v>3</c:v>
                </c:pt>
                <c:pt idx="552">
                  <c:v>4</c:v>
                </c:pt>
                <c:pt idx="553">
                  <c:v>3</c:v>
                </c:pt>
                <c:pt idx="554">
                  <c:v>1</c:v>
                </c:pt>
                <c:pt idx="555">
                  <c:v>1</c:v>
                </c:pt>
                <c:pt idx="556">
                  <c:v>3</c:v>
                </c:pt>
                <c:pt idx="557">
                  <c:v>1</c:v>
                </c:pt>
                <c:pt idx="558">
                  <c:v>4</c:v>
                </c:pt>
                <c:pt idx="559">
                  <c:v>1</c:v>
                </c:pt>
                <c:pt idx="560">
                  <c:v>4</c:v>
                </c:pt>
                <c:pt idx="561">
                  <c:v>2</c:v>
                </c:pt>
                <c:pt idx="562">
                  <c:v>2</c:v>
                </c:pt>
                <c:pt idx="563">
                  <c:v>2</c:v>
                </c:pt>
                <c:pt idx="564">
                  <c:v>2</c:v>
                </c:pt>
                <c:pt idx="565">
                  <c:v>1</c:v>
                </c:pt>
                <c:pt idx="566">
                  <c:v>3</c:v>
                </c:pt>
                <c:pt idx="567">
                  <c:v>1</c:v>
                </c:pt>
                <c:pt idx="568">
                  <c:v>4</c:v>
                </c:pt>
                <c:pt idx="569">
                  <c:v>1</c:v>
                </c:pt>
                <c:pt idx="570">
                  <c:v>1</c:v>
                </c:pt>
                <c:pt idx="571">
                  <c:v>4</c:v>
                </c:pt>
                <c:pt idx="572">
                  <c:v>2</c:v>
                </c:pt>
                <c:pt idx="573">
                  <c:v>2</c:v>
                </c:pt>
                <c:pt idx="574">
                  <c:v>2</c:v>
                </c:pt>
                <c:pt idx="575">
                  <c:v>3</c:v>
                </c:pt>
                <c:pt idx="576">
                  <c:v>4</c:v>
                </c:pt>
                <c:pt idx="577">
                  <c:v>4</c:v>
                </c:pt>
                <c:pt idx="578">
                  <c:v>1</c:v>
                </c:pt>
                <c:pt idx="579">
                  <c:v>3</c:v>
                </c:pt>
                <c:pt idx="580">
                  <c:v>2</c:v>
                </c:pt>
                <c:pt idx="581">
                  <c:v>3</c:v>
                </c:pt>
                <c:pt idx="582">
                  <c:v>4</c:v>
                </c:pt>
                <c:pt idx="583">
                  <c:v>4</c:v>
                </c:pt>
                <c:pt idx="584">
                  <c:v>1</c:v>
                </c:pt>
                <c:pt idx="585">
                  <c:v>1</c:v>
                </c:pt>
                <c:pt idx="586">
                  <c:v>4</c:v>
                </c:pt>
                <c:pt idx="587">
                  <c:v>2</c:v>
                </c:pt>
                <c:pt idx="588">
                  <c:v>2</c:v>
                </c:pt>
                <c:pt idx="589">
                  <c:v>3</c:v>
                </c:pt>
                <c:pt idx="590">
                  <c:v>4</c:v>
                </c:pt>
                <c:pt idx="591">
                  <c:v>4</c:v>
                </c:pt>
                <c:pt idx="592">
                  <c:v>2</c:v>
                </c:pt>
                <c:pt idx="593">
                  <c:v>2</c:v>
                </c:pt>
                <c:pt idx="594">
                  <c:v>4</c:v>
                </c:pt>
                <c:pt idx="595">
                  <c:v>1</c:v>
                </c:pt>
                <c:pt idx="596">
                  <c:v>4</c:v>
                </c:pt>
                <c:pt idx="597">
                  <c:v>4</c:v>
                </c:pt>
                <c:pt idx="598">
                  <c:v>2</c:v>
                </c:pt>
                <c:pt idx="599">
                  <c:v>2</c:v>
                </c:pt>
                <c:pt idx="600">
                  <c:v>1</c:v>
                </c:pt>
                <c:pt idx="601">
                  <c:v>1</c:v>
                </c:pt>
                <c:pt idx="602">
                  <c:v>3</c:v>
                </c:pt>
                <c:pt idx="603">
                  <c:v>4</c:v>
                </c:pt>
                <c:pt idx="604">
                  <c:v>2</c:v>
                </c:pt>
                <c:pt idx="605">
                  <c:v>1</c:v>
                </c:pt>
                <c:pt idx="606">
                  <c:v>3</c:v>
                </c:pt>
                <c:pt idx="607">
                  <c:v>3</c:v>
                </c:pt>
                <c:pt idx="608">
                  <c:v>2</c:v>
                </c:pt>
                <c:pt idx="609">
                  <c:v>2</c:v>
                </c:pt>
                <c:pt idx="610">
                  <c:v>3</c:v>
                </c:pt>
                <c:pt idx="611">
                  <c:v>1</c:v>
                </c:pt>
                <c:pt idx="612">
                  <c:v>3</c:v>
                </c:pt>
                <c:pt idx="613">
                  <c:v>4</c:v>
                </c:pt>
                <c:pt idx="614">
                  <c:v>4</c:v>
                </c:pt>
                <c:pt idx="615">
                  <c:v>2</c:v>
                </c:pt>
                <c:pt idx="616">
                  <c:v>1</c:v>
                </c:pt>
                <c:pt idx="617">
                  <c:v>1</c:v>
                </c:pt>
                <c:pt idx="618">
                  <c:v>4</c:v>
                </c:pt>
                <c:pt idx="619">
                  <c:v>3</c:v>
                </c:pt>
                <c:pt idx="620">
                  <c:v>2</c:v>
                </c:pt>
                <c:pt idx="621">
                  <c:v>3</c:v>
                </c:pt>
                <c:pt idx="622">
                  <c:v>3</c:v>
                </c:pt>
                <c:pt idx="623">
                  <c:v>3</c:v>
                </c:pt>
                <c:pt idx="624">
                  <c:v>1</c:v>
                </c:pt>
                <c:pt idx="625">
                  <c:v>4</c:v>
                </c:pt>
                <c:pt idx="626">
                  <c:v>1</c:v>
                </c:pt>
                <c:pt idx="627">
                  <c:v>4</c:v>
                </c:pt>
                <c:pt idx="628">
                  <c:v>2</c:v>
                </c:pt>
                <c:pt idx="629">
                  <c:v>2</c:v>
                </c:pt>
                <c:pt idx="630">
                  <c:v>3</c:v>
                </c:pt>
                <c:pt idx="631">
                  <c:v>4</c:v>
                </c:pt>
                <c:pt idx="632">
                  <c:v>4</c:v>
                </c:pt>
                <c:pt idx="633">
                  <c:v>4</c:v>
                </c:pt>
                <c:pt idx="634">
                  <c:v>3</c:v>
                </c:pt>
                <c:pt idx="635">
                  <c:v>3</c:v>
                </c:pt>
                <c:pt idx="636">
                  <c:v>2</c:v>
                </c:pt>
                <c:pt idx="637">
                  <c:v>1</c:v>
                </c:pt>
                <c:pt idx="638">
                  <c:v>4</c:v>
                </c:pt>
                <c:pt idx="639">
                  <c:v>4</c:v>
                </c:pt>
                <c:pt idx="640">
                  <c:v>1</c:v>
                </c:pt>
                <c:pt idx="641">
                  <c:v>4</c:v>
                </c:pt>
                <c:pt idx="642">
                  <c:v>3</c:v>
                </c:pt>
                <c:pt idx="643">
                  <c:v>3</c:v>
                </c:pt>
                <c:pt idx="644">
                  <c:v>4</c:v>
                </c:pt>
                <c:pt idx="645">
                  <c:v>3</c:v>
                </c:pt>
                <c:pt idx="646">
                  <c:v>3</c:v>
                </c:pt>
                <c:pt idx="647">
                  <c:v>4</c:v>
                </c:pt>
                <c:pt idx="648">
                  <c:v>2</c:v>
                </c:pt>
                <c:pt idx="649">
                  <c:v>1</c:v>
                </c:pt>
                <c:pt idx="650">
                  <c:v>3</c:v>
                </c:pt>
                <c:pt idx="651">
                  <c:v>2</c:v>
                </c:pt>
                <c:pt idx="652">
                  <c:v>3</c:v>
                </c:pt>
                <c:pt idx="653">
                  <c:v>3</c:v>
                </c:pt>
                <c:pt idx="654">
                  <c:v>1</c:v>
                </c:pt>
                <c:pt idx="655">
                  <c:v>3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2</c:v>
                </c:pt>
                <c:pt idx="660">
                  <c:v>4</c:v>
                </c:pt>
                <c:pt idx="661">
                  <c:v>2</c:v>
                </c:pt>
                <c:pt idx="662">
                  <c:v>4</c:v>
                </c:pt>
                <c:pt idx="663">
                  <c:v>4</c:v>
                </c:pt>
                <c:pt idx="664">
                  <c:v>1</c:v>
                </c:pt>
                <c:pt idx="665">
                  <c:v>3</c:v>
                </c:pt>
                <c:pt idx="666">
                  <c:v>1</c:v>
                </c:pt>
                <c:pt idx="667">
                  <c:v>3</c:v>
                </c:pt>
                <c:pt idx="668">
                  <c:v>4</c:v>
                </c:pt>
                <c:pt idx="669">
                  <c:v>1</c:v>
                </c:pt>
                <c:pt idx="670">
                  <c:v>3</c:v>
                </c:pt>
                <c:pt idx="671">
                  <c:v>2</c:v>
                </c:pt>
                <c:pt idx="672">
                  <c:v>3</c:v>
                </c:pt>
                <c:pt idx="673">
                  <c:v>1</c:v>
                </c:pt>
                <c:pt idx="674">
                  <c:v>2</c:v>
                </c:pt>
                <c:pt idx="675">
                  <c:v>3</c:v>
                </c:pt>
                <c:pt idx="676">
                  <c:v>3</c:v>
                </c:pt>
                <c:pt idx="677">
                  <c:v>3</c:v>
                </c:pt>
                <c:pt idx="678">
                  <c:v>3</c:v>
                </c:pt>
                <c:pt idx="679">
                  <c:v>3</c:v>
                </c:pt>
                <c:pt idx="680">
                  <c:v>2</c:v>
                </c:pt>
                <c:pt idx="681">
                  <c:v>4</c:v>
                </c:pt>
                <c:pt idx="682">
                  <c:v>2</c:v>
                </c:pt>
                <c:pt idx="683">
                  <c:v>2</c:v>
                </c:pt>
                <c:pt idx="684">
                  <c:v>2</c:v>
                </c:pt>
                <c:pt idx="685">
                  <c:v>4</c:v>
                </c:pt>
                <c:pt idx="686">
                  <c:v>1</c:v>
                </c:pt>
                <c:pt idx="687">
                  <c:v>4</c:v>
                </c:pt>
                <c:pt idx="688">
                  <c:v>2</c:v>
                </c:pt>
                <c:pt idx="689">
                  <c:v>3</c:v>
                </c:pt>
                <c:pt idx="690">
                  <c:v>3</c:v>
                </c:pt>
                <c:pt idx="691">
                  <c:v>2</c:v>
                </c:pt>
                <c:pt idx="692">
                  <c:v>3</c:v>
                </c:pt>
                <c:pt idx="693">
                  <c:v>2</c:v>
                </c:pt>
                <c:pt idx="694">
                  <c:v>3</c:v>
                </c:pt>
                <c:pt idx="695">
                  <c:v>4</c:v>
                </c:pt>
                <c:pt idx="696">
                  <c:v>1</c:v>
                </c:pt>
                <c:pt idx="697">
                  <c:v>1</c:v>
                </c:pt>
                <c:pt idx="698">
                  <c:v>4</c:v>
                </c:pt>
                <c:pt idx="699">
                  <c:v>4</c:v>
                </c:pt>
                <c:pt idx="700">
                  <c:v>2</c:v>
                </c:pt>
                <c:pt idx="701">
                  <c:v>2</c:v>
                </c:pt>
                <c:pt idx="702">
                  <c:v>2</c:v>
                </c:pt>
                <c:pt idx="703">
                  <c:v>3</c:v>
                </c:pt>
                <c:pt idx="704">
                  <c:v>2</c:v>
                </c:pt>
                <c:pt idx="705">
                  <c:v>4</c:v>
                </c:pt>
                <c:pt idx="706">
                  <c:v>1</c:v>
                </c:pt>
                <c:pt idx="707">
                  <c:v>3</c:v>
                </c:pt>
                <c:pt idx="708">
                  <c:v>2</c:v>
                </c:pt>
                <c:pt idx="709">
                  <c:v>3</c:v>
                </c:pt>
                <c:pt idx="710">
                  <c:v>3</c:v>
                </c:pt>
                <c:pt idx="711">
                  <c:v>2</c:v>
                </c:pt>
                <c:pt idx="712">
                  <c:v>3</c:v>
                </c:pt>
                <c:pt idx="713">
                  <c:v>1</c:v>
                </c:pt>
                <c:pt idx="714">
                  <c:v>4</c:v>
                </c:pt>
                <c:pt idx="715">
                  <c:v>4</c:v>
                </c:pt>
                <c:pt idx="716">
                  <c:v>1</c:v>
                </c:pt>
                <c:pt idx="717">
                  <c:v>3</c:v>
                </c:pt>
                <c:pt idx="718">
                  <c:v>2</c:v>
                </c:pt>
                <c:pt idx="719">
                  <c:v>3</c:v>
                </c:pt>
                <c:pt idx="720">
                  <c:v>1</c:v>
                </c:pt>
                <c:pt idx="721">
                  <c:v>3</c:v>
                </c:pt>
                <c:pt idx="722">
                  <c:v>4</c:v>
                </c:pt>
                <c:pt idx="723">
                  <c:v>3</c:v>
                </c:pt>
                <c:pt idx="724">
                  <c:v>1</c:v>
                </c:pt>
                <c:pt idx="725">
                  <c:v>4</c:v>
                </c:pt>
                <c:pt idx="726">
                  <c:v>3</c:v>
                </c:pt>
                <c:pt idx="727">
                  <c:v>3</c:v>
                </c:pt>
                <c:pt idx="728">
                  <c:v>4</c:v>
                </c:pt>
                <c:pt idx="729">
                  <c:v>2</c:v>
                </c:pt>
                <c:pt idx="730">
                  <c:v>4</c:v>
                </c:pt>
                <c:pt idx="731">
                  <c:v>2</c:v>
                </c:pt>
                <c:pt idx="732">
                  <c:v>1</c:v>
                </c:pt>
                <c:pt idx="733">
                  <c:v>1</c:v>
                </c:pt>
                <c:pt idx="734">
                  <c:v>4</c:v>
                </c:pt>
                <c:pt idx="735">
                  <c:v>4</c:v>
                </c:pt>
                <c:pt idx="736">
                  <c:v>1</c:v>
                </c:pt>
                <c:pt idx="737">
                  <c:v>2</c:v>
                </c:pt>
                <c:pt idx="738">
                  <c:v>1</c:v>
                </c:pt>
                <c:pt idx="739">
                  <c:v>4</c:v>
                </c:pt>
                <c:pt idx="740">
                  <c:v>1</c:v>
                </c:pt>
                <c:pt idx="741">
                  <c:v>4</c:v>
                </c:pt>
                <c:pt idx="742">
                  <c:v>4</c:v>
                </c:pt>
                <c:pt idx="743">
                  <c:v>1</c:v>
                </c:pt>
                <c:pt idx="744">
                  <c:v>2</c:v>
                </c:pt>
                <c:pt idx="745">
                  <c:v>3</c:v>
                </c:pt>
                <c:pt idx="746">
                  <c:v>1</c:v>
                </c:pt>
                <c:pt idx="747">
                  <c:v>3</c:v>
                </c:pt>
                <c:pt idx="748">
                  <c:v>1</c:v>
                </c:pt>
                <c:pt idx="749">
                  <c:v>3</c:v>
                </c:pt>
                <c:pt idx="750">
                  <c:v>2</c:v>
                </c:pt>
                <c:pt idx="751">
                  <c:v>2</c:v>
                </c:pt>
                <c:pt idx="752">
                  <c:v>1</c:v>
                </c:pt>
                <c:pt idx="753">
                  <c:v>4</c:v>
                </c:pt>
                <c:pt idx="754">
                  <c:v>3</c:v>
                </c:pt>
                <c:pt idx="755">
                  <c:v>4</c:v>
                </c:pt>
                <c:pt idx="756">
                  <c:v>4</c:v>
                </c:pt>
                <c:pt idx="757">
                  <c:v>4</c:v>
                </c:pt>
                <c:pt idx="758">
                  <c:v>2</c:v>
                </c:pt>
                <c:pt idx="759">
                  <c:v>1</c:v>
                </c:pt>
                <c:pt idx="760">
                  <c:v>1</c:v>
                </c:pt>
                <c:pt idx="761">
                  <c:v>2</c:v>
                </c:pt>
                <c:pt idx="762">
                  <c:v>2</c:v>
                </c:pt>
                <c:pt idx="763">
                  <c:v>1</c:v>
                </c:pt>
                <c:pt idx="764">
                  <c:v>4</c:v>
                </c:pt>
                <c:pt idx="765">
                  <c:v>3</c:v>
                </c:pt>
                <c:pt idx="766">
                  <c:v>3</c:v>
                </c:pt>
                <c:pt idx="767">
                  <c:v>3</c:v>
                </c:pt>
                <c:pt idx="768">
                  <c:v>4</c:v>
                </c:pt>
                <c:pt idx="769">
                  <c:v>1</c:v>
                </c:pt>
                <c:pt idx="770">
                  <c:v>2</c:v>
                </c:pt>
                <c:pt idx="771">
                  <c:v>1</c:v>
                </c:pt>
                <c:pt idx="772">
                  <c:v>4</c:v>
                </c:pt>
                <c:pt idx="773">
                  <c:v>2</c:v>
                </c:pt>
                <c:pt idx="774">
                  <c:v>4</c:v>
                </c:pt>
                <c:pt idx="775">
                  <c:v>3</c:v>
                </c:pt>
                <c:pt idx="776">
                  <c:v>3</c:v>
                </c:pt>
                <c:pt idx="777">
                  <c:v>4</c:v>
                </c:pt>
                <c:pt idx="778">
                  <c:v>2</c:v>
                </c:pt>
                <c:pt idx="779">
                  <c:v>2</c:v>
                </c:pt>
                <c:pt idx="780">
                  <c:v>1</c:v>
                </c:pt>
                <c:pt idx="781">
                  <c:v>3</c:v>
                </c:pt>
                <c:pt idx="782">
                  <c:v>1</c:v>
                </c:pt>
                <c:pt idx="783">
                  <c:v>1</c:v>
                </c:pt>
                <c:pt idx="784">
                  <c:v>4</c:v>
                </c:pt>
                <c:pt idx="785">
                  <c:v>4</c:v>
                </c:pt>
                <c:pt idx="786">
                  <c:v>1</c:v>
                </c:pt>
                <c:pt idx="787">
                  <c:v>3</c:v>
                </c:pt>
                <c:pt idx="788">
                  <c:v>4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4</c:v>
                </c:pt>
                <c:pt idx="796">
                  <c:v>3</c:v>
                </c:pt>
                <c:pt idx="797">
                  <c:v>1</c:v>
                </c:pt>
                <c:pt idx="798">
                  <c:v>2</c:v>
                </c:pt>
                <c:pt idx="799">
                  <c:v>4</c:v>
                </c:pt>
                <c:pt idx="800">
                  <c:v>4</c:v>
                </c:pt>
                <c:pt idx="801">
                  <c:v>1</c:v>
                </c:pt>
                <c:pt idx="802">
                  <c:v>4</c:v>
                </c:pt>
                <c:pt idx="803">
                  <c:v>1</c:v>
                </c:pt>
                <c:pt idx="804">
                  <c:v>3</c:v>
                </c:pt>
                <c:pt idx="805">
                  <c:v>3</c:v>
                </c:pt>
                <c:pt idx="806">
                  <c:v>4</c:v>
                </c:pt>
                <c:pt idx="807">
                  <c:v>4</c:v>
                </c:pt>
                <c:pt idx="808">
                  <c:v>2</c:v>
                </c:pt>
                <c:pt idx="809">
                  <c:v>4</c:v>
                </c:pt>
                <c:pt idx="810">
                  <c:v>2</c:v>
                </c:pt>
                <c:pt idx="811">
                  <c:v>3</c:v>
                </c:pt>
                <c:pt idx="812">
                  <c:v>3</c:v>
                </c:pt>
                <c:pt idx="813">
                  <c:v>1</c:v>
                </c:pt>
                <c:pt idx="814">
                  <c:v>3</c:v>
                </c:pt>
                <c:pt idx="815">
                  <c:v>2</c:v>
                </c:pt>
                <c:pt idx="816">
                  <c:v>4</c:v>
                </c:pt>
                <c:pt idx="817">
                  <c:v>1</c:v>
                </c:pt>
                <c:pt idx="818">
                  <c:v>2</c:v>
                </c:pt>
                <c:pt idx="819">
                  <c:v>4</c:v>
                </c:pt>
                <c:pt idx="820">
                  <c:v>1</c:v>
                </c:pt>
                <c:pt idx="821">
                  <c:v>3</c:v>
                </c:pt>
                <c:pt idx="822">
                  <c:v>2</c:v>
                </c:pt>
                <c:pt idx="823">
                  <c:v>4</c:v>
                </c:pt>
                <c:pt idx="824">
                  <c:v>1</c:v>
                </c:pt>
                <c:pt idx="825">
                  <c:v>1</c:v>
                </c:pt>
                <c:pt idx="826">
                  <c:v>3</c:v>
                </c:pt>
                <c:pt idx="827">
                  <c:v>4</c:v>
                </c:pt>
                <c:pt idx="828">
                  <c:v>3</c:v>
                </c:pt>
                <c:pt idx="829">
                  <c:v>3</c:v>
                </c:pt>
                <c:pt idx="830">
                  <c:v>4</c:v>
                </c:pt>
                <c:pt idx="831">
                  <c:v>4</c:v>
                </c:pt>
                <c:pt idx="832">
                  <c:v>4</c:v>
                </c:pt>
                <c:pt idx="833">
                  <c:v>2</c:v>
                </c:pt>
                <c:pt idx="834">
                  <c:v>4</c:v>
                </c:pt>
                <c:pt idx="835">
                  <c:v>1</c:v>
                </c:pt>
                <c:pt idx="836">
                  <c:v>3</c:v>
                </c:pt>
                <c:pt idx="837">
                  <c:v>2</c:v>
                </c:pt>
                <c:pt idx="838">
                  <c:v>4</c:v>
                </c:pt>
                <c:pt idx="839">
                  <c:v>2</c:v>
                </c:pt>
                <c:pt idx="840">
                  <c:v>4</c:v>
                </c:pt>
                <c:pt idx="841">
                  <c:v>2</c:v>
                </c:pt>
                <c:pt idx="842">
                  <c:v>3</c:v>
                </c:pt>
                <c:pt idx="843">
                  <c:v>3</c:v>
                </c:pt>
                <c:pt idx="844">
                  <c:v>1</c:v>
                </c:pt>
                <c:pt idx="845">
                  <c:v>1</c:v>
                </c:pt>
                <c:pt idx="846">
                  <c:v>4</c:v>
                </c:pt>
                <c:pt idx="847">
                  <c:v>3</c:v>
                </c:pt>
                <c:pt idx="848">
                  <c:v>2</c:v>
                </c:pt>
                <c:pt idx="849">
                  <c:v>2</c:v>
                </c:pt>
                <c:pt idx="850">
                  <c:v>2</c:v>
                </c:pt>
                <c:pt idx="851">
                  <c:v>1</c:v>
                </c:pt>
                <c:pt idx="852">
                  <c:v>2</c:v>
                </c:pt>
                <c:pt idx="853">
                  <c:v>1</c:v>
                </c:pt>
                <c:pt idx="854">
                  <c:v>1</c:v>
                </c:pt>
                <c:pt idx="855">
                  <c:v>4</c:v>
                </c:pt>
                <c:pt idx="856">
                  <c:v>2</c:v>
                </c:pt>
                <c:pt idx="857">
                  <c:v>2</c:v>
                </c:pt>
                <c:pt idx="858">
                  <c:v>3</c:v>
                </c:pt>
                <c:pt idx="859">
                  <c:v>4</c:v>
                </c:pt>
                <c:pt idx="860">
                  <c:v>3</c:v>
                </c:pt>
                <c:pt idx="861">
                  <c:v>4</c:v>
                </c:pt>
                <c:pt idx="862">
                  <c:v>2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3</c:v>
                </c:pt>
                <c:pt idx="869">
                  <c:v>4</c:v>
                </c:pt>
                <c:pt idx="870">
                  <c:v>2</c:v>
                </c:pt>
                <c:pt idx="871">
                  <c:v>3</c:v>
                </c:pt>
                <c:pt idx="872">
                  <c:v>4</c:v>
                </c:pt>
                <c:pt idx="873">
                  <c:v>1</c:v>
                </c:pt>
                <c:pt idx="874">
                  <c:v>4</c:v>
                </c:pt>
                <c:pt idx="875">
                  <c:v>4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2</c:v>
                </c:pt>
                <c:pt idx="880">
                  <c:v>1</c:v>
                </c:pt>
                <c:pt idx="881">
                  <c:v>2</c:v>
                </c:pt>
                <c:pt idx="882">
                  <c:v>1</c:v>
                </c:pt>
                <c:pt idx="883">
                  <c:v>2</c:v>
                </c:pt>
                <c:pt idx="884">
                  <c:v>4</c:v>
                </c:pt>
                <c:pt idx="885">
                  <c:v>3</c:v>
                </c:pt>
                <c:pt idx="886">
                  <c:v>4</c:v>
                </c:pt>
                <c:pt idx="887">
                  <c:v>4</c:v>
                </c:pt>
                <c:pt idx="888">
                  <c:v>1</c:v>
                </c:pt>
                <c:pt idx="889">
                  <c:v>2</c:v>
                </c:pt>
                <c:pt idx="890">
                  <c:v>3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4</c:v>
                </c:pt>
                <c:pt idx="895">
                  <c:v>2</c:v>
                </c:pt>
                <c:pt idx="896">
                  <c:v>2</c:v>
                </c:pt>
                <c:pt idx="897">
                  <c:v>3</c:v>
                </c:pt>
                <c:pt idx="898">
                  <c:v>2</c:v>
                </c:pt>
                <c:pt idx="899">
                  <c:v>2</c:v>
                </c:pt>
                <c:pt idx="900">
                  <c:v>1</c:v>
                </c:pt>
                <c:pt idx="901">
                  <c:v>1</c:v>
                </c:pt>
                <c:pt idx="902">
                  <c:v>4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4</c:v>
                </c:pt>
                <c:pt idx="908">
                  <c:v>1</c:v>
                </c:pt>
                <c:pt idx="909">
                  <c:v>3</c:v>
                </c:pt>
                <c:pt idx="910">
                  <c:v>3</c:v>
                </c:pt>
                <c:pt idx="911">
                  <c:v>3</c:v>
                </c:pt>
                <c:pt idx="912">
                  <c:v>3</c:v>
                </c:pt>
                <c:pt idx="913">
                  <c:v>1</c:v>
                </c:pt>
                <c:pt idx="914">
                  <c:v>3</c:v>
                </c:pt>
                <c:pt idx="915">
                  <c:v>1</c:v>
                </c:pt>
                <c:pt idx="916">
                  <c:v>4</c:v>
                </c:pt>
                <c:pt idx="917">
                  <c:v>3</c:v>
                </c:pt>
                <c:pt idx="918">
                  <c:v>2</c:v>
                </c:pt>
                <c:pt idx="919">
                  <c:v>3</c:v>
                </c:pt>
                <c:pt idx="920">
                  <c:v>3</c:v>
                </c:pt>
                <c:pt idx="921">
                  <c:v>1</c:v>
                </c:pt>
                <c:pt idx="922">
                  <c:v>3</c:v>
                </c:pt>
                <c:pt idx="923">
                  <c:v>2</c:v>
                </c:pt>
                <c:pt idx="924">
                  <c:v>1</c:v>
                </c:pt>
                <c:pt idx="925">
                  <c:v>1</c:v>
                </c:pt>
                <c:pt idx="926">
                  <c:v>4</c:v>
                </c:pt>
                <c:pt idx="927">
                  <c:v>4</c:v>
                </c:pt>
                <c:pt idx="928">
                  <c:v>3</c:v>
                </c:pt>
                <c:pt idx="929">
                  <c:v>4</c:v>
                </c:pt>
                <c:pt idx="930">
                  <c:v>4</c:v>
                </c:pt>
                <c:pt idx="931">
                  <c:v>4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4</c:v>
                </c:pt>
                <c:pt idx="936">
                  <c:v>1</c:v>
                </c:pt>
                <c:pt idx="937">
                  <c:v>4</c:v>
                </c:pt>
                <c:pt idx="938">
                  <c:v>1</c:v>
                </c:pt>
                <c:pt idx="939">
                  <c:v>1</c:v>
                </c:pt>
                <c:pt idx="940">
                  <c:v>2</c:v>
                </c:pt>
                <c:pt idx="941">
                  <c:v>3</c:v>
                </c:pt>
                <c:pt idx="942">
                  <c:v>4</c:v>
                </c:pt>
                <c:pt idx="943">
                  <c:v>2</c:v>
                </c:pt>
                <c:pt idx="944">
                  <c:v>1</c:v>
                </c:pt>
                <c:pt idx="945">
                  <c:v>4</c:v>
                </c:pt>
                <c:pt idx="946">
                  <c:v>1</c:v>
                </c:pt>
                <c:pt idx="947">
                  <c:v>3</c:v>
                </c:pt>
                <c:pt idx="948">
                  <c:v>2</c:v>
                </c:pt>
                <c:pt idx="949">
                  <c:v>3</c:v>
                </c:pt>
                <c:pt idx="950">
                  <c:v>2</c:v>
                </c:pt>
                <c:pt idx="951">
                  <c:v>1</c:v>
                </c:pt>
                <c:pt idx="952">
                  <c:v>3</c:v>
                </c:pt>
                <c:pt idx="953">
                  <c:v>3</c:v>
                </c:pt>
                <c:pt idx="954">
                  <c:v>1</c:v>
                </c:pt>
                <c:pt idx="955">
                  <c:v>3</c:v>
                </c:pt>
                <c:pt idx="956">
                  <c:v>4</c:v>
                </c:pt>
                <c:pt idx="957">
                  <c:v>2</c:v>
                </c:pt>
                <c:pt idx="958">
                  <c:v>2</c:v>
                </c:pt>
                <c:pt idx="959">
                  <c:v>2</c:v>
                </c:pt>
                <c:pt idx="960">
                  <c:v>4</c:v>
                </c:pt>
                <c:pt idx="961">
                  <c:v>2</c:v>
                </c:pt>
                <c:pt idx="962">
                  <c:v>1</c:v>
                </c:pt>
                <c:pt idx="963">
                  <c:v>3</c:v>
                </c:pt>
                <c:pt idx="964">
                  <c:v>4</c:v>
                </c:pt>
                <c:pt idx="965">
                  <c:v>2</c:v>
                </c:pt>
                <c:pt idx="966">
                  <c:v>1</c:v>
                </c:pt>
                <c:pt idx="967">
                  <c:v>3</c:v>
                </c:pt>
                <c:pt idx="968">
                  <c:v>3</c:v>
                </c:pt>
                <c:pt idx="969">
                  <c:v>4</c:v>
                </c:pt>
                <c:pt idx="970">
                  <c:v>4</c:v>
                </c:pt>
                <c:pt idx="971">
                  <c:v>4</c:v>
                </c:pt>
                <c:pt idx="972">
                  <c:v>1</c:v>
                </c:pt>
                <c:pt idx="973">
                  <c:v>1</c:v>
                </c:pt>
                <c:pt idx="974">
                  <c:v>4</c:v>
                </c:pt>
                <c:pt idx="975">
                  <c:v>2</c:v>
                </c:pt>
                <c:pt idx="976">
                  <c:v>3</c:v>
                </c:pt>
                <c:pt idx="977">
                  <c:v>3</c:v>
                </c:pt>
                <c:pt idx="978">
                  <c:v>1</c:v>
                </c:pt>
                <c:pt idx="979">
                  <c:v>3</c:v>
                </c:pt>
                <c:pt idx="980">
                  <c:v>2</c:v>
                </c:pt>
                <c:pt idx="981">
                  <c:v>3</c:v>
                </c:pt>
                <c:pt idx="982">
                  <c:v>1</c:v>
                </c:pt>
                <c:pt idx="983">
                  <c:v>1</c:v>
                </c:pt>
                <c:pt idx="984">
                  <c:v>2</c:v>
                </c:pt>
                <c:pt idx="985">
                  <c:v>2</c:v>
                </c:pt>
                <c:pt idx="986">
                  <c:v>3</c:v>
                </c:pt>
                <c:pt idx="987">
                  <c:v>3</c:v>
                </c:pt>
                <c:pt idx="988">
                  <c:v>1</c:v>
                </c:pt>
                <c:pt idx="989">
                  <c:v>2</c:v>
                </c:pt>
                <c:pt idx="990">
                  <c:v>2</c:v>
                </c:pt>
                <c:pt idx="991">
                  <c:v>2</c:v>
                </c:pt>
                <c:pt idx="992">
                  <c:v>3</c:v>
                </c:pt>
                <c:pt idx="993">
                  <c:v>2</c:v>
                </c:pt>
                <c:pt idx="994">
                  <c:v>1</c:v>
                </c:pt>
                <c:pt idx="995">
                  <c:v>1</c:v>
                </c:pt>
                <c:pt idx="996">
                  <c:v>3</c:v>
                </c:pt>
                <c:pt idx="997">
                  <c:v>4</c:v>
                </c:pt>
                <c:pt idx="998">
                  <c:v>3</c:v>
                </c:pt>
                <c:pt idx="99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C7-4817-B80D-0A3F4ED7C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35207712"/>
        <c:axId val="1835203968"/>
        <c:axId val="0"/>
      </c:bar3DChart>
      <c:catAx>
        <c:axId val="183520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203968"/>
        <c:crosses val="autoZero"/>
        <c:auto val="1"/>
        <c:lblAlgn val="ctr"/>
        <c:lblOffset val="100"/>
        <c:noMultiLvlLbl val="0"/>
      </c:catAx>
      <c:valAx>
        <c:axId val="183520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20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project.xlsx]L...retail_sales_dataset  PROJE!PivotTable19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'L...retail_sales_dataset  PROJE'!$AF$2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F59-4A0B-B340-D0C40A41CA1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F59-4A0B-B340-D0C40A41CA1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F59-4A0B-B340-D0C40A41CA1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F59-4A0B-B340-D0C40A41CA1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F59-4A0B-B340-D0C40A41CA1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F59-4A0B-B340-D0C40A41CA1D}"/>
              </c:ext>
            </c:extLst>
          </c:dPt>
          <c:cat>
            <c:multiLvlStrRef>
              <c:f>'L...retail_sales_dataset  PROJE'!$AE$3:$AE$11</c:f>
              <c:multiLvlStrCache>
                <c:ptCount val="6"/>
                <c:lvl>
                  <c:pt idx="0">
                    <c:v>Beauty</c:v>
                  </c:pt>
                  <c:pt idx="1">
                    <c:v>Clothing</c:v>
                  </c:pt>
                  <c:pt idx="2">
                    <c:v>Electronics</c:v>
                  </c:pt>
                  <c:pt idx="3">
                    <c:v>Beauty</c:v>
                  </c:pt>
                  <c:pt idx="4">
                    <c:v>Clothing</c:v>
                  </c:pt>
                  <c:pt idx="5">
                    <c:v>Electronics</c:v>
                  </c:pt>
                </c:lvl>
                <c:lvl>
                  <c:pt idx="0">
                    <c:v>Female</c:v>
                  </c:pt>
                  <c:pt idx="3">
                    <c:v>Male</c:v>
                  </c:pt>
                </c:lvl>
              </c:multiLvlStrCache>
            </c:multiLvlStrRef>
          </c:cat>
          <c:val>
            <c:numRef>
              <c:f>'L...retail_sales_dataset  PROJE'!$AF$3:$AF$11</c:f>
              <c:numCache>
                <c:formatCode>General</c:formatCode>
                <c:ptCount val="6"/>
                <c:pt idx="0">
                  <c:v>74830</c:v>
                </c:pt>
                <c:pt idx="1">
                  <c:v>81275</c:v>
                </c:pt>
                <c:pt idx="2">
                  <c:v>76735</c:v>
                </c:pt>
                <c:pt idx="3">
                  <c:v>68685</c:v>
                </c:pt>
                <c:pt idx="4">
                  <c:v>74305</c:v>
                </c:pt>
                <c:pt idx="5">
                  <c:v>80170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F59-4A0B-B340-D0C40A41C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project.xlsx]L...retail_sales_dataset  PROJE!PivotTable20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'L...retail_sales_dataset  PROJE'!$AF$14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6F5-4E66-A749-3B3AC4C36C3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6F5-4E66-A749-3B3AC4C36C3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6F5-4E66-A749-3B3AC4C36C3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6F5-4E66-A749-3B3AC4C36C3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6F5-4E66-A749-3B3AC4C36C3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6F5-4E66-A749-3B3AC4C36C3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6F5-4E66-A749-3B3AC4C36C3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6F5-4E66-A749-3B3AC4C36C3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6F5-4E66-A749-3B3AC4C36C3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6F5-4E66-A749-3B3AC4C36C3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26F5-4E66-A749-3B3AC4C36C3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26F5-4E66-A749-3B3AC4C36C3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26F5-4E66-A749-3B3AC4C36C3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26F5-4E66-A749-3B3AC4C36C31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26F5-4E66-A749-3B3AC4C36C31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26F5-4E66-A749-3B3AC4C36C31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26F5-4E66-A749-3B3AC4C36C31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26F5-4E66-A749-3B3AC4C36C31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26F5-4E66-A749-3B3AC4C36C31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26F5-4E66-A749-3B3AC4C36C31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26F5-4E66-A749-3B3AC4C36C31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26F5-4E66-A749-3B3AC4C36C31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26F5-4E66-A749-3B3AC4C36C31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26F5-4E66-A749-3B3AC4C36C31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26F5-4E66-A749-3B3AC4C36C31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26F5-4E66-A749-3B3AC4C36C31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26F5-4E66-A749-3B3AC4C36C31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26F5-4E66-A749-3B3AC4C36C31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26F5-4E66-A749-3B3AC4C36C31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26F5-4E66-A749-3B3AC4C36C31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26F5-4E66-A749-3B3AC4C36C31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26F5-4E66-A749-3B3AC4C36C31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26F5-4E66-A749-3B3AC4C36C31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26F5-4E66-A749-3B3AC4C36C31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26F5-4E66-A749-3B3AC4C36C31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26F5-4E66-A749-3B3AC4C36C31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26F5-4E66-A749-3B3AC4C36C31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26F5-4E66-A749-3B3AC4C36C31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26F5-4E66-A749-3B3AC4C36C31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26F5-4E66-A749-3B3AC4C36C31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26F5-4E66-A749-3B3AC4C36C31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26F5-4E66-A749-3B3AC4C36C31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26F5-4E66-A749-3B3AC4C36C31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26F5-4E66-A749-3B3AC4C36C31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26F5-4E66-A749-3B3AC4C36C31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26F5-4E66-A749-3B3AC4C36C31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26F5-4E66-A749-3B3AC4C36C31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26F5-4E66-A749-3B3AC4C36C31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26F5-4E66-A749-3B3AC4C36C31}"/>
              </c:ext>
            </c:extLst>
          </c:dPt>
          <c:cat>
            <c:strRef>
              <c:f>'L...retail_sales_dataset  PROJE'!$AE$15:$AE$64</c:f>
              <c:strCache>
                <c:ptCount val="49"/>
                <c:pt idx="0">
                  <c:v>CUST015</c:v>
                </c:pt>
                <c:pt idx="1">
                  <c:v>CUST065</c:v>
                </c:pt>
                <c:pt idx="2">
                  <c:v>CUST072</c:v>
                </c:pt>
                <c:pt idx="3">
                  <c:v>CUST074</c:v>
                </c:pt>
                <c:pt idx="4">
                  <c:v>CUST089</c:v>
                </c:pt>
                <c:pt idx="5">
                  <c:v>CUST093</c:v>
                </c:pt>
                <c:pt idx="6">
                  <c:v>CUST109</c:v>
                </c:pt>
                <c:pt idx="7">
                  <c:v>CUST118</c:v>
                </c:pt>
                <c:pt idx="8">
                  <c:v>CUST124</c:v>
                </c:pt>
                <c:pt idx="9">
                  <c:v>CUST139</c:v>
                </c:pt>
                <c:pt idx="10">
                  <c:v>CUST152</c:v>
                </c:pt>
                <c:pt idx="11">
                  <c:v>CUST155</c:v>
                </c:pt>
                <c:pt idx="12">
                  <c:v>CUST157</c:v>
                </c:pt>
                <c:pt idx="13">
                  <c:v>CUST166</c:v>
                </c:pt>
                <c:pt idx="14">
                  <c:v>CUST253</c:v>
                </c:pt>
                <c:pt idx="15">
                  <c:v>CUST257</c:v>
                </c:pt>
                <c:pt idx="16">
                  <c:v>CUST269</c:v>
                </c:pt>
                <c:pt idx="17">
                  <c:v>CUST281</c:v>
                </c:pt>
                <c:pt idx="18">
                  <c:v>CUST342</c:v>
                </c:pt>
                <c:pt idx="19">
                  <c:v>CUST412</c:v>
                </c:pt>
                <c:pt idx="20">
                  <c:v>CUST416</c:v>
                </c:pt>
                <c:pt idx="21">
                  <c:v>CUST420</c:v>
                </c:pt>
                <c:pt idx="22">
                  <c:v>CUST447</c:v>
                </c:pt>
                <c:pt idx="23">
                  <c:v>CUST476</c:v>
                </c:pt>
                <c:pt idx="24">
                  <c:v>CUST480</c:v>
                </c:pt>
                <c:pt idx="25">
                  <c:v>CUST487</c:v>
                </c:pt>
                <c:pt idx="26">
                  <c:v>CUST503</c:v>
                </c:pt>
                <c:pt idx="27">
                  <c:v>CUST547</c:v>
                </c:pt>
                <c:pt idx="28">
                  <c:v>CUST561</c:v>
                </c:pt>
                <c:pt idx="29">
                  <c:v>CUST572</c:v>
                </c:pt>
                <c:pt idx="30">
                  <c:v>CUST577</c:v>
                </c:pt>
                <c:pt idx="31">
                  <c:v>CUST592</c:v>
                </c:pt>
                <c:pt idx="32">
                  <c:v>CUST595</c:v>
                </c:pt>
                <c:pt idx="33">
                  <c:v>CUST626</c:v>
                </c:pt>
                <c:pt idx="34">
                  <c:v>CUST634</c:v>
                </c:pt>
                <c:pt idx="35">
                  <c:v>CUST664</c:v>
                </c:pt>
                <c:pt idx="36">
                  <c:v>CUST700</c:v>
                </c:pt>
                <c:pt idx="37">
                  <c:v>CUST731</c:v>
                </c:pt>
                <c:pt idx="38">
                  <c:v>CUST735</c:v>
                </c:pt>
                <c:pt idx="39">
                  <c:v>CUST742</c:v>
                </c:pt>
                <c:pt idx="40">
                  <c:v>CUST743</c:v>
                </c:pt>
                <c:pt idx="41">
                  <c:v>CUST773</c:v>
                </c:pt>
                <c:pt idx="42">
                  <c:v>CUST789</c:v>
                </c:pt>
                <c:pt idx="43">
                  <c:v>CUST808</c:v>
                </c:pt>
                <c:pt idx="44">
                  <c:v>CUST832</c:v>
                </c:pt>
                <c:pt idx="45">
                  <c:v>CUST875</c:v>
                </c:pt>
                <c:pt idx="46">
                  <c:v>CUST927</c:v>
                </c:pt>
                <c:pt idx="47">
                  <c:v>CUST946</c:v>
                </c:pt>
                <c:pt idx="48">
                  <c:v>CUST970</c:v>
                </c:pt>
              </c:strCache>
            </c:strRef>
          </c:cat>
          <c:val>
            <c:numRef>
              <c:f>'L...retail_sales_dataset  PROJE'!$AF$15:$AF$64</c:f>
              <c:numCache>
                <c:formatCode>General</c:formatCode>
                <c:ptCount val="49"/>
                <c:pt idx="0">
                  <c:v>2000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2000</c:v>
                </c:pt>
                <c:pt idx="5">
                  <c:v>2000</c:v>
                </c:pt>
                <c:pt idx="6">
                  <c:v>2000</c:v>
                </c:pt>
                <c:pt idx="7">
                  <c:v>2000</c:v>
                </c:pt>
                <c:pt idx="8">
                  <c:v>2000</c:v>
                </c:pt>
                <c:pt idx="9">
                  <c:v>2000</c:v>
                </c:pt>
                <c:pt idx="10">
                  <c:v>2000</c:v>
                </c:pt>
                <c:pt idx="11">
                  <c:v>2000</c:v>
                </c:pt>
                <c:pt idx="12">
                  <c:v>2000</c:v>
                </c:pt>
                <c:pt idx="13">
                  <c:v>2000</c:v>
                </c:pt>
                <c:pt idx="14">
                  <c:v>2000</c:v>
                </c:pt>
                <c:pt idx="15">
                  <c:v>2000</c:v>
                </c:pt>
                <c:pt idx="16">
                  <c:v>2000</c:v>
                </c:pt>
                <c:pt idx="17">
                  <c:v>2000</c:v>
                </c:pt>
                <c:pt idx="18">
                  <c:v>2000</c:v>
                </c:pt>
                <c:pt idx="19">
                  <c:v>2000</c:v>
                </c:pt>
                <c:pt idx="20">
                  <c:v>2000</c:v>
                </c:pt>
                <c:pt idx="21">
                  <c:v>2000</c:v>
                </c:pt>
                <c:pt idx="22">
                  <c:v>2000</c:v>
                </c:pt>
                <c:pt idx="23">
                  <c:v>2000</c:v>
                </c:pt>
                <c:pt idx="24">
                  <c:v>2000</c:v>
                </c:pt>
                <c:pt idx="25">
                  <c:v>2000</c:v>
                </c:pt>
                <c:pt idx="26">
                  <c:v>2000</c:v>
                </c:pt>
                <c:pt idx="27">
                  <c:v>2000</c:v>
                </c:pt>
                <c:pt idx="28">
                  <c:v>2000</c:v>
                </c:pt>
                <c:pt idx="29">
                  <c:v>2000</c:v>
                </c:pt>
                <c:pt idx="30">
                  <c:v>2000</c:v>
                </c:pt>
                <c:pt idx="31">
                  <c:v>2000</c:v>
                </c:pt>
                <c:pt idx="32">
                  <c:v>2000</c:v>
                </c:pt>
                <c:pt idx="33">
                  <c:v>2000</c:v>
                </c:pt>
                <c:pt idx="34">
                  <c:v>2000</c:v>
                </c:pt>
                <c:pt idx="35">
                  <c:v>2000</c:v>
                </c:pt>
                <c:pt idx="36">
                  <c:v>2000</c:v>
                </c:pt>
                <c:pt idx="37">
                  <c:v>2000</c:v>
                </c:pt>
                <c:pt idx="38">
                  <c:v>2000</c:v>
                </c:pt>
                <c:pt idx="39">
                  <c:v>2000</c:v>
                </c:pt>
                <c:pt idx="40">
                  <c:v>2000</c:v>
                </c:pt>
                <c:pt idx="41">
                  <c:v>2000</c:v>
                </c:pt>
                <c:pt idx="42">
                  <c:v>2000</c:v>
                </c:pt>
                <c:pt idx="43">
                  <c:v>2000</c:v>
                </c:pt>
                <c:pt idx="44">
                  <c:v>2000</c:v>
                </c:pt>
                <c:pt idx="45">
                  <c:v>2000</c:v>
                </c:pt>
                <c:pt idx="46">
                  <c:v>2000</c:v>
                </c:pt>
                <c:pt idx="47">
                  <c:v>2000</c:v>
                </c:pt>
                <c:pt idx="48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2-26F5-4E66-A749-3B3AC4C36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project.xlsx]L...retail_sales_dataset  PROJE!PivotTable21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'L...retail_sales_dataset  PROJE'!$AI$2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'L...retail_sales_dataset  PROJE'!$AH$3:$AH$6</c:f>
              <c:strCache>
                <c:ptCount val="3"/>
                <c:pt idx="0">
                  <c:v>Electronics</c:v>
                </c:pt>
                <c:pt idx="1">
                  <c:v>Clothing</c:v>
                </c:pt>
                <c:pt idx="2">
                  <c:v>Beauty</c:v>
                </c:pt>
              </c:strCache>
            </c:strRef>
          </c:cat>
          <c:val>
            <c:numRef>
              <c:f>'L...retail_sales_dataset  PROJE'!$AI$3:$AI$6</c:f>
              <c:numCache>
                <c:formatCode>0.00%</c:formatCode>
                <c:ptCount val="3"/>
                <c:pt idx="0">
                  <c:v>156905</c:v>
                </c:pt>
                <c:pt idx="1">
                  <c:v>155580</c:v>
                </c:pt>
                <c:pt idx="2">
                  <c:v>143515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5C-4C49-AB6D-6F0293E34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1544432"/>
        <c:axId val="1591545264"/>
      </c:barChart>
      <c:catAx>
        <c:axId val="159154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545264"/>
        <c:crosses val="autoZero"/>
        <c:auto val="1"/>
        <c:lblAlgn val="ctr"/>
        <c:lblOffset val="100"/>
        <c:noMultiLvlLbl val="0"/>
      </c:catAx>
      <c:valAx>
        <c:axId val="159154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54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600075</xdr:colOff>
      <xdr:row>4</xdr:row>
      <xdr:rowOff>114300</xdr:rowOff>
    </xdr:from>
    <xdr:to>
      <xdr:col>11</xdr:col>
      <xdr:colOff>276227</xdr:colOff>
      <xdr:row>16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33B32C-483B-46E6-9634-B13584D884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152399</xdr:colOff>
      <xdr:row>4</xdr:row>
      <xdr:rowOff>114299</xdr:rowOff>
    </xdr:from>
    <xdr:to>
      <xdr:col>5</xdr:col>
      <xdr:colOff>428625</xdr:colOff>
      <xdr:row>16</xdr:row>
      <xdr:rowOff>123824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A5EC7E7-EBE9-4E43-920A-35433C55D2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371475</xdr:colOff>
      <xdr:row>4</xdr:row>
      <xdr:rowOff>114302</xdr:rowOff>
    </xdr:from>
    <xdr:to>
      <xdr:col>17</xdr:col>
      <xdr:colOff>495300</xdr:colOff>
      <xdr:row>16</xdr:row>
      <xdr:rowOff>161926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BE68A6-D283-4D77-BC00-EB4F101BC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17</xdr:row>
      <xdr:rowOff>171450</xdr:rowOff>
    </xdr:from>
    <xdr:to>
      <xdr:col>5</xdr:col>
      <xdr:colOff>495300</xdr:colOff>
      <xdr:row>32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A90020A-4EEE-4F8A-843F-24A48A564F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28575</xdr:colOff>
      <xdr:row>17</xdr:row>
      <xdr:rowOff>180974</xdr:rowOff>
    </xdr:from>
    <xdr:to>
      <xdr:col>11</xdr:col>
      <xdr:colOff>323850</xdr:colOff>
      <xdr:row>32</xdr:row>
      <xdr:rowOff>95249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3ADFD16-6FD1-4576-A75D-B01DC62E59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457200</xdr:colOff>
      <xdr:row>18</xdr:row>
      <xdr:rowOff>19050</xdr:rowOff>
    </xdr:from>
    <xdr:to>
      <xdr:col>17</xdr:col>
      <xdr:colOff>542926</xdr:colOff>
      <xdr:row>32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263074B-BB6D-4001-B407-93BAFD5D91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104775</xdr:colOff>
      <xdr:row>34</xdr:row>
      <xdr:rowOff>47625</xdr:rowOff>
    </xdr:from>
    <xdr:to>
      <xdr:col>5</xdr:col>
      <xdr:colOff>571500</xdr:colOff>
      <xdr:row>48</xdr:row>
      <xdr:rowOff>95249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69B2768-6381-4DC5-B4CD-01864A796B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95250</xdr:colOff>
      <xdr:row>34</xdr:row>
      <xdr:rowOff>66675</xdr:rowOff>
    </xdr:from>
    <xdr:to>
      <xdr:col>11</xdr:col>
      <xdr:colOff>142875</xdr:colOff>
      <xdr:row>48</xdr:row>
      <xdr:rowOff>123825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3EA9687-D0CE-48B4-BCAD-691EC89583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295276</xdr:colOff>
      <xdr:row>34</xdr:row>
      <xdr:rowOff>95250</xdr:rowOff>
    </xdr:from>
    <xdr:to>
      <xdr:col>17</xdr:col>
      <xdr:colOff>561976</xdr:colOff>
      <xdr:row>49</xdr:row>
      <xdr:rowOff>9525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141CF75-1315-4B26-837E-51B1E5B0A3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76201</xdr:colOff>
      <xdr:row>50</xdr:row>
      <xdr:rowOff>28575</xdr:rowOff>
    </xdr:from>
    <xdr:to>
      <xdr:col>6</xdr:col>
      <xdr:colOff>47625</xdr:colOff>
      <xdr:row>64</xdr:row>
      <xdr:rowOff>123825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AE2C758-78B5-4C17-B941-EFAD5CE33E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161925</xdr:colOff>
      <xdr:row>50</xdr:row>
      <xdr:rowOff>38101</xdr:rowOff>
    </xdr:from>
    <xdr:to>
      <xdr:col>11</xdr:col>
      <xdr:colOff>133350</xdr:colOff>
      <xdr:row>64</xdr:row>
      <xdr:rowOff>133351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4282E3D-6605-4D68-A001-52D0CE4850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295276</xdr:colOff>
      <xdr:row>50</xdr:row>
      <xdr:rowOff>47625</xdr:rowOff>
    </xdr:from>
    <xdr:to>
      <xdr:col>17</xdr:col>
      <xdr:colOff>533400</xdr:colOff>
      <xdr:row>64</xdr:row>
      <xdr:rowOff>161925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AE29474-AEA0-4D6B-AADB-5E69E76047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47625</xdr:colOff>
      <xdr:row>66</xdr:row>
      <xdr:rowOff>28575</xdr:rowOff>
    </xdr:from>
    <xdr:to>
      <xdr:col>6</xdr:col>
      <xdr:colOff>38100</xdr:colOff>
      <xdr:row>80</xdr:row>
      <xdr:rowOff>114300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1D35C31-66DE-4115-8162-0EC2931874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</xdr:col>
      <xdr:colOff>152401</xdr:colOff>
      <xdr:row>66</xdr:row>
      <xdr:rowOff>38100</xdr:rowOff>
    </xdr:from>
    <xdr:to>
      <xdr:col>11</xdr:col>
      <xdr:colOff>123825</xdr:colOff>
      <xdr:row>80</xdr:row>
      <xdr:rowOff>133351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32911BB3-6E4B-4C5C-8FE0-4178A09F1C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11</xdr:col>
      <xdr:colOff>295275</xdr:colOff>
      <xdr:row>66</xdr:row>
      <xdr:rowOff>47625</xdr:rowOff>
    </xdr:from>
    <xdr:to>
      <xdr:col>17</xdr:col>
      <xdr:colOff>552450</xdr:colOff>
      <xdr:row>80</xdr:row>
      <xdr:rowOff>85725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5DB4FA54-D02E-42BE-AF24-3EFF285549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28575</xdr:colOff>
      <xdr:row>82</xdr:row>
      <xdr:rowOff>28575</xdr:rowOff>
    </xdr:from>
    <xdr:to>
      <xdr:col>6</xdr:col>
      <xdr:colOff>9525</xdr:colOff>
      <xdr:row>94</xdr:row>
      <xdr:rowOff>114301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33BB65C9-8018-47B0-8673-DB52749214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</xdr:col>
      <xdr:colOff>133350</xdr:colOff>
      <xdr:row>82</xdr:row>
      <xdr:rowOff>38100</xdr:rowOff>
    </xdr:from>
    <xdr:to>
      <xdr:col>11</xdr:col>
      <xdr:colOff>161925</xdr:colOff>
      <xdr:row>94</xdr:row>
      <xdr:rowOff>161926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C6CCBCB-9654-4065-8D86-4BB46AB782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11</xdr:col>
      <xdr:colOff>323851</xdr:colOff>
      <xdr:row>82</xdr:row>
      <xdr:rowOff>1</xdr:rowOff>
    </xdr:from>
    <xdr:to>
      <xdr:col>17</xdr:col>
      <xdr:colOff>523875</xdr:colOff>
      <xdr:row>94</xdr:row>
      <xdr:rowOff>114301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344E87D2-9D78-4F8B-B1FA-E7102AB56C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57150</xdr:colOff>
      <xdr:row>96</xdr:row>
      <xdr:rowOff>0</xdr:rowOff>
    </xdr:from>
    <xdr:to>
      <xdr:col>6</xdr:col>
      <xdr:colOff>38100</xdr:colOff>
      <xdr:row>110</xdr:row>
      <xdr:rowOff>66675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CEFB0EBF-DAC8-49F9-9BFC-5FC1C4F0B8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6</xdr:col>
      <xdr:colOff>152400</xdr:colOff>
      <xdr:row>96</xdr:row>
      <xdr:rowOff>9526</xdr:rowOff>
    </xdr:from>
    <xdr:to>
      <xdr:col>11</xdr:col>
      <xdr:colOff>219075</xdr:colOff>
      <xdr:row>110</xdr:row>
      <xdr:rowOff>38100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A3BE9B74-7AE4-4CCB-BE29-955A12C092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5</xdr:col>
      <xdr:colOff>238125</xdr:colOff>
      <xdr:row>0</xdr:row>
      <xdr:rowOff>19050</xdr:rowOff>
    </xdr:from>
    <xdr:to>
      <xdr:col>14</xdr:col>
      <xdr:colOff>9525</xdr:colOff>
      <xdr:row>2</xdr:row>
      <xdr:rowOff>47625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5B81145-293C-4A64-A119-D6DF7AFA918B}"/>
            </a:ext>
          </a:extLst>
        </xdr:cNvPr>
        <xdr:cNvSpPr txBox="1"/>
      </xdr:nvSpPr>
      <xdr:spPr>
        <a:xfrm>
          <a:off x="3286125" y="19050"/>
          <a:ext cx="5257800" cy="409575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000">
              <a:solidFill>
                <a:schemeClr val="tx1">
                  <a:lumMod val="95000"/>
                  <a:lumOff val="5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  <a:cs typeface="Dubai" panose="020B0503030403030204" pitchFamily="34" charset="-78"/>
            </a:rPr>
            <a:t>RETAIL SALES DATASET DASHBOARD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9.518940509261" createdVersion="7" refreshedVersion="7" minRefreshableVersion="3" recordCount="1000" xr:uid="{00000000-000A-0000-FFFF-FFFF18000000}">
  <cacheSource type="worksheet">
    <worksheetSource ref="A1:I1001" sheet="L...retail_sales_dataset  PROJE"/>
  </cacheSource>
  <cacheFields count="11">
    <cacheField name="Transaction ID" numFmtId="0">
      <sharedItems containsSemiMixedTypes="0" containsString="0" containsNumber="1" containsInteger="1" minValue="1" maxValue="1000" count="1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</sharedItems>
    </cacheField>
    <cacheField name="Date" numFmtId="14">
      <sharedItems containsSemiMixedTypes="0" containsNonDate="0" containsDate="1" containsString="0" minDate="2023-01-01T00:00:00" maxDate="2024-01-02T00:00:00" count="345">
        <d v="2023-11-24T00:00:00"/>
        <d v="2023-02-27T00:00:00"/>
        <d v="2023-01-13T00:00:00"/>
        <d v="2023-05-21T00:00:00"/>
        <d v="2023-05-06T00:00:00"/>
        <d v="2023-04-25T00:00:00"/>
        <d v="2023-03-13T00:00:00"/>
        <d v="2023-02-22T00:00:00"/>
        <d v="2023-12-13T00:00:00"/>
        <d v="2023-10-07T00:00:00"/>
        <d v="2023-02-14T00:00:00"/>
        <d v="2023-10-30T00:00:00"/>
        <d v="2023-08-05T00:00:00"/>
        <d v="2023-01-17T00:00:00"/>
        <d v="2023-01-16T00:00:00"/>
        <d v="2023-02-17T00:00:00"/>
        <d v="2023-04-22T00:00:00"/>
        <d v="2023-04-30T00:00:00"/>
        <d v="2023-09-16T00:00:00"/>
        <d v="2023-11-05T00:00:00"/>
        <d v="2023-01-14T00:00:00"/>
        <d v="2023-10-15T00:00:00"/>
        <d v="2023-04-12T00:00:00"/>
        <d v="2023-11-29T00:00:00"/>
        <d v="2023-12-26T00:00:00"/>
        <d v="2023-08-03T00:00:00"/>
        <d v="2023-04-23T00:00:00"/>
        <d v="2023-08-18T00:00:00"/>
        <d v="2023-10-29T00:00:00"/>
        <d v="2023-05-23T00:00:00"/>
        <d v="2023-01-04T00:00:00"/>
        <d v="2023-03-23T00:00:00"/>
        <d v="2023-12-24T00:00:00"/>
        <d v="2023-06-24T00:00:00"/>
        <d v="2023-03-21T00:00:00"/>
        <d v="2023-04-21T00:00:00"/>
        <d v="2023-06-22T00:00:00"/>
        <d v="2023-07-14T00:00:00"/>
        <d v="2023-02-19T00:00:00"/>
        <d v="2023-07-03T00:00:00"/>
        <d v="2023-06-26T00:00:00"/>
        <d v="2023-11-06T00:00:00"/>
        <d v="2023-05-16T00:00:00"/>
        <d v="2023-01-23T00:00:00"/>
        <d v="2023-08-24T00:00:00"/>
        <d v="2023-10-02T00:00:00"/>
        <d v="2023-03-05T00:00:00"/>
        <d v="2023-07-13T00:00:00"/>
        <d v="2023-02-10T00:00:00"/>
        <d v="2023-10-10T00:00:00"/>
        <d v="2023-05-31T00:00:00"/>
        <d v="2023-11-18T00:00:00"/>
        <d v="2023-11-13T00:00:00"/>
        <d v="2023-07-05T00:00:00"/>
        <d v="2023-10-23T00:00:00"/>
        <d v="2023-04-09T00:00:00"/>
        <d v="2023-12-27T00:00:00"/>
        <d v="2023-02-05T00:00:00"/>
        <d v="2023-01-24T00:00:00"/>
        <d v="2023-12-05T00:00:00"/>
        <d v="2023-04-27T00:00:00"/>
        <d v="2023-05-29T00:00:00"/>
        <d v="2023-02-21T00:00:00"/>
        <d v="2023-08-21T00:00:00"/>
        <d v="2023-11-22T00:00:00"/>
        <d v="2023-07-06T00:00:00"/>
        <d v="2023-03-25T00:00:00"/>
        <d v="2023-07-09T00:00:00"/>
        <d v="2023-07-01T00:00:00"/>
        <d v="2023-04-18T00:00:00"/>
        <d v="2023-12-10T00:00:00"/>
        <d v="2023-05-17T00:00:00"/>
        <d v="2023-12-16T00:00:00"/>
        <d v="2023-11-28T00:00:00"/>
        <d v="2023-02-06T00:00:00"/>
        <d v="2023-11-08T00:00:00"/>
        <d v="2023-03-29T00:00:00"/>
        <d v="2023-10-01T00:00:00"/>
        <d v="2023-08-25T00:00:00"/>
        <d v="2023-05-19T00:00:00"/>
        <d v="2023-12-19T00:00:00"/>
        <d v="2023-10-13T00:00:00"/>
        <d v="2023-12-17T00:00:00"/>
        <d v="2023-06-16T00:00:00"/>
        <d v="2023-01-29T00:00:00"/>
        <d v="2023-04-28T00:00:00"/>
        <d v="2023-06-11T00:00:00"/>
        <d v="2023-07-25T00:00:00"/>
        <d v="2023-05-18T00:00:00"/>
        <d v="2023-02-03T00:00:00"/>
        <d v="2023-04-19T00:00:00"/>
        <d v="2023-10-18T00:00:00"/>
        <d v="2023-12-02T00:00:00"/>
        <d v="2023-09-13T00:00:00"/>
        <d v="2023-07-22T00:00:00"/>
        <d v="2023-11-26T00:00:00"/>
        <d v="2023-08-23T00:00:00"/>
        <d v="2023-03-15T00:00:00"/>
        <d v="2023-05-07T00:00:00"/>
        <d v="2023-10-03T00:00:00"/>
        <d v="2023-05-15T00:00:00"/>
        <d v="2023-10-27T00:00:00"/>
        <d v="2023-08-08T00:00:00"/>
        <d v="2023-10-26T00:00:00"/>
        <d v="2023-07-24T00:00:00"/>
        <d v="2023-03-12T00:00:00"/>
        <d v="2023-09-18T00:00:00"/>
        <d v="2023-09-10T00:00:00"/>
        <d v="2023-02-16T00:00:00"/>
        <d v="2023-01-25T00:00:00"/>
        <d v="2023-02-26T00:00:00"/>
        <d v="2023-03-20T00:00:00"/>
        <d v="2023-12-15T00:00:00"/>
        <d v="2023-11-02T00:00:00"/>
        <d v="2023-02-02T00:00:00"/>
        <d v="2023-07-17T00:00:00"/>
        <d v="2023-07-15T00:00:00"/>
        <d v="2023-08-28T00:00:00"/>
        <d v="2023-09-28T00:00:00"/>
        <d v="2023-05-09T00:00:00"/>
        <d v="2023-10-11T00:00:00"/>
        <d v="2023-01-06T00:00:00"/>
        <d v="2023-02-28T00:00:00"/>
        <d v="2023-11-25T00:00:00"/>
        <d v="2023-08-11T00:00:00"/>
        <d v="2023-03-22T00:00:00"/>
        <d v="2023-01-02T00:00:00"/>
        <d v="2023-09-14T00:00:00"/>
        <d v="2023-04-02T00:00:00"/>
        <d v="2023-09-17T00:00:00"/>
        <d v="2023-02-24T00:00:00"/>
        <d v="2023-11-17T00:00:00"/>
        <d v="2023-06-02T00:00:00"/>
        <d v="2023-07-11T00:00:00"/>
        <d v="2023-03-24T00:00:00"/>
        <d v="2023-10-04T00:00:00"/>
        <d v="2023-09-29T00:00:00"/>
        <d v="2023-01-01T00:00:00"/>
        <d v="2023-11-03T00:00:00"/>
        <d v="2023-06-15T00:00:00"/>
        <d v="2023-09-08T00:00:00"/>
        <d v="2023-01-10T00:00:00"/>
        <d v="2023-06-07T00:00:00"/>
        <d v="2023-05-03T00:00:00"/>
        <d v="2023-01-30T00:00:00"/>
        <d v="2023-05-04T00:00:00"/>
        <d v="2023-02-13T00:00:00"/>
        <d v="2023-09-06T00:00:00"/>
        <d v="2023-09-30T00:00:00"/>
        <d v="2023-03-06T00:00:00"/>
        <d v="2023-03-07T00:00:00"/>
        <d v="2023-12-04T00:00:00"/>
        <d v="2023-09-01T00:00:00"/>
        <d v="2023-10-09T00:00:00"/>
        <d v="2023-03-26T00:00:00"/>
        <d v="2023-11-07T00:00:00"/>
        <d v="2023-12-20T00:00:00"/>
        <d v="2023-04-13T00:00:00"/>
        <d v="2024-01-01T00:00:00"/>
        <d v="2023-06-09T00:00:00"/>
        <d v="2023-08-13T00:00:00"/>
        <d v="2023-09-22T00:00:00"/>
        <d v="2023-08-20T00:00:00"/>
        <d v="2023-03-03T00:00:00"/>
        <d v="2023-04-26T00:00:00"/>
        <d v="2023-06-23T00:00:00"/>
        <d v="2023-01-11T00:00:00"/>
        <d v="2023-12-29T00:00:00"/>
        <d v="2023-11-20T00:00:00"/>
        <d v="2023-01-31T00:00:00"/>
        <d v="2023-02-04T00:00:00"/>
        <d v="2023-06-19T00:00:00"/>
        <d v="2023-09-21T00:00:00"/>
        <d v="2023-05-02T00:00:00"/>
        <d v="2023-12-09T00:00:00"/>
        <d v="2023-04-20T00:00:00"/>
        <d v="2023-03-09T00:00:00"/>
        <d v="2023-10-20T00:00:00"/>
        <d v="2023-08-31T00:00:00"/>
        <d v="2023-05-05T00:00:00"/>
        <d v="2023-07-28T00:00:00"/>
        <d v="2023-04-08T00:00:00"/>
        <d v="2023-02-18T00:00:00"/>
        <d v="2023-08-09T00:00:00"/>
        <d v="2023-07-30T00:00:00"/>
        <d v="2023-01-28T00:00:00"/>
        <d v="2023-12-11T00:00:00"/>
        <d v="2023-12-01T00:00:00"/>
        <d v="2023-11-27T00:00:00"/>
        <d v="2023-02-20T00:00:00"/>
        <d v="2023-02-01T00:00:00"/>
        <d v="2023-07-26T00:00:00"/>
        <d v="2023-02-25T00:00:00"/>
        <d v="2023-05-08T00:00:00"/>
        <d v="2023-04-04T00:00:00"/>
        <d v="2023-02-08T00:00:00"/>
        <d v="2023-08-15T00:00:00"/>
        <d v="2023-01-26T00:00:00"/>
        <d v="2023-11-30T00:00:00"/>
        <d v="2023-01-08T00:00:00"/>
        <d v="2023-03-27T00:00:00"/>
        <d v="2023-09-04T00:00:00"/>
        <d v="2023-07-19T00:00:00"/>
        <d v="2023-05-27T00:00:00"/>
        <d v="2023-12-23T00:00:00"/>
        <d v="2023-10-12T00:00:00"/>
        <d v="2023-09-07T00:00:00"/>
        <d v="2023-06-01T00:00:00"/>
        <d v="2023-10-24T00:00:00"/>
        <d v="2023-10-05T00:00:00"/>
        <d v="2023-06-10T00:00:00"/>
        <d v="2023-09-02T00:00:00"/>
        <d v="2023-09-15T00:00:00"/>
        <d v="2023-02-11T00:00:00"/>
        <d v="2023-04-06T00:00:00"/>
        <d v="2023-11-01T00:00:00"/>
        <d v="2023-12-12T00:00:00"/>
        <d v="2023-05-01T00:00:00"/>
        <d v="2023-10-19T00:00:00"/>
        <d v="2023-01-21T00:00:00"/>
        <d v="2023-11-14T00:00:00"/>
        <d v="2023-12-03T00:00:00"/>
        <d v="2023-10-17T00:00:00"/>
        <d v="2023-09-25T00:00:00"/>
        <d v="2023-05-14T00:00:00"/>
        <d v="2023-04-15T00:00:00"/>
        <d v="2023-06-03T00:00:00"/>
        <d v="2023-02-07T00:00:00"/>
        <d v="2023-01-05T00:00:00"/>
        <d v="2023-11-15T00:00:00"/>
        <d v="2023-10-16T00:00:00"/>
        <d v="2023-06-28T00:00:00"/>
        <d v="2023-05-26T00:00:00"/>
        <d v="2023-10-06T00:00:00"/>
        <d v="2023-06-04T00:00:00"/>
        <d v="2023-11-10T00:00:00"/>
        <d v="2023-12-08T00:00:00"/>
        <d v="2023-12-06T00:00:00"/>
        <d v="2023-02-23T00:00:00"/>
        <d v="2023-03-10T00:00:00"/>
        <d v="2023-03-01T00:00:00"/>
        <d v="2023-05-20T00:00:00"/>
        <d v="2023-05-25T00:00:00"/>
        <d v="2023-06-25T00:00:00"/>
        <d v="2023-12-18T00:00:00"/>
        <d v="2023-11-21T00:00:00"/>
        <d v="2023-01-27T00:00:00"/>
        <d v="2023-05-22T00:00:00"/>
        <d v="2023-06-20T00:00:00"/>
        <d v="2023-03-08T00:00:00"/>
        <d v="2023-11-23T00:00:00"/>
        <d v="2023-12-28T00:00:00"/>
        <d v="2023-08-07T00:00:00"/>
        <d v="2023-03-18T00:00:00"/>
        <d v="2023-01-19T00:00:00"/>
        <d v="2023-03-17T00:00:00"/>
        <d v="2023-01-22T00:00:00"/>
        <d v="2023-10-14T00:00:00"/>
        <d v="2023-04-01T00:00:00"/>
        <d v="2023-07-31T00:00:00"/>
        <d v="2023-01-20T00:00:00"/>
        <d v="2023-08-29T00:00:00"/>
        <d v="2023-04-24T00:00:00"/>
        <d v="2023-06-29T00:00:00"/>
        <d v="2023-06-06T00:00:00"/>
        <d v="2023-06-18T00:00:00"/>
        <d v="2023-12-14T00:00:00"/>
        <d v="2023-01-15T00:00:00"/>
        <d v="2023-10-25T00:00:00"/>
        <d v="2023-08-12T00:00:00"/>
        <d v="2023-09-19T00:00:00"/>
        <d v="2023-05-11T00:00:00"/>
        <d v="2023-09-24T00:00:00"/>
        <d v="2023-04-11T00:00:00"/>
        <d v="2023-12-07T00:00:00"/>
        <d v="2023-11-16T00:00:00"/>
        <d v="2023-06-08T00:00:00"/>
        <d v="2023-07-29T00:00:00"/>
        <d v="2023-06-17T00:00:00"/>
        <d v="2023-08-04T00:00:00"/>
        <d v="2023-03-31T00:00:00"/>
        <d v="2023-11-12T00:00:00"/>
        <d v="2023-07-27T00:00:00"/>
        <d v="2023-10-08T00:00:00"/>
        <d v="2023-06-05T00:00:00"/>
        <d v="2023-06-14T00:00:00"/>
        <d v="2023-08-27T00:00:00"/>
        <d v="2023-03-28T00:00:00"/>
        <d v="2023-06-21T00:00:00"/>
        <d v="2023-11-09T00:00:00"/>
        <d v="2023-08-22T00:00:00"/>
        <d v="2023-08-01T00:00:00"/>
        <d v="2023-11-19T00:00:00"/>
        <d v="2023-10-22T00:00:00"/>
        <d v="2023-04-10T00:00:00"/>
        <d v="2023-07-16T00:00:00"/>
        <d v="2023-09-11T00:00:00"/>
        <d v="2023-01-03T00:00:00"/>
        <d v="2023-08-06T00:00:00"/>
        <d v="2023-09-23T00:00:00"/>
        <d v="2023-08-26T00:00:00"/>
        <d v="2023-03-04T00:00:00"/>
        <d v="2023-06-12T00:00:00"/>
        <d v="2023-08-17T00:00:00"/>
        <d v="2023-08-19T00:00:00"/>
        <d v="2023-05-13T00:00:00"/>
        <d v="2023-08-14T00:00:00"/>
        <d v="2023-02-09T00:00:00"/>
        <d v="2023-06-13T00:00:00"/>
        <d v="2023-03-19T00:00:00"/>
        <d v="2023-04-29T00:00:00"/>
        <d v="2023-12-22T00:00:00"/>
        <d v="2023-04-16T00:00:00"/>
        <d v="2023-06-30T00:00:00"/>
        <d v="2023-07-21T00:00:00"/>
        <d v="2023-10-31T00:00:00"/>
        <d v="2023-02-12T00:00:00"/>
        <d v="2023-03-11T00:00:00"/>
        <d v="2023-05-10T00:00:00"/>
        <d v="2023-12-25T00:00:00"/>
        <d v="2023-05-12T00:00:00"/>
        <d v="2023-07-08T00:00:00"/>
        <d v="2023-07-12T00:00:00"/>
        <d v="2023-07-23T00:00:00"/>
        <d v="2023-11-04T00:00:00"/>
        <d v="2023-06-27T00:00:00"/>
        <d v="2023-01-07T00:00:00"/>
        <d v="2023-08-10T00:00:00"/>
        <d v="2023-09-05T00:00:00"/>
        <d v="2023-05-24T00:00:00"/>
        <d v="2023-12-31T00:00:00"/>
        <d v="2023-09-09T00:00:00"/>
        <d v="2023-01-09T00:00:00"/>
        <d v="2023-12-21T00:00:00"/>
        <d v="2023-04-05T00:00:00"/>
        <d v="2023-09-26T00:00:00"/>
        <d v="2023-07-04T00:00:00"/>
        <d v="2023-05-30T00:00:00"/>
        <d v="2023-10-21T00:00:00"/>
        <d v="2023-09-03T00:00:00"/>
        <d v="2023-03-02T00:00:00"/>
        <d v="2023-08-02T00:00:00"/>
        <d v="2023-04-17T00:00:00"/>
        <d v="2023-03-30T00:00:00"/>
        <d v="2023-05-28T00:00:00"/>
      </sharedItems>
      <fieldGroup par="10" base="1">
        <rangePr groupBy="months" startDate="2023-01-01T00:00:00" endDate="2024-01-02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1-2024"/>
        </groupItems>
      </fieldGroup>
    </cacheField>
    <cacheField name="Customer ID" numFmtId="0">
      <sharedItems count="1000">
        <s v="CUST001"/>
        <s v="CUST002"/>
        <s v="CUST003"/>
        <s v="CUST004"/>
        <s v="CUST005"/>
        <s v="CUST006"/>
        <s v="CUST007"/>
        <s v="CUST008"/>
        <s v="CUST009"/>
        <s v="CUST010"/>
        <s v="CUST011"/>
        <s v="CUST012"/>
        <s v="CUST013"/>
        <s v="CUST014"/>
        <s v="CUST015"/>
        <s v="CUST016"/>
        <s v="CUST017"/>
        <s v="CUST018"/>
        <s v="CUST019"/>
        <s v="CUST020"/>
        <s v="CUST021"/>
        <s v="CUST022"/>
        <s v="CUST023"/>
        <s v="CUST024"/>
        <s v="CUST025"/>
        <s v="CUST026"/>
        <s v="CUST027"/>
        <s v="CUST028"/>
        <s v="CUST029"/>
        <s v="CUST030"/>
        <s v="CUST031"/>
        <s v="CUST032"/>
        <s v="CUST033"/>
        <s v="CUST034"/>
        <s v="CUST035"/>
        <s v="CUST036"/>
        <s v="CUST037"/>
        <s v="CUST038"/>
        <s v="CUST039"/>
        <s v="CUST040"/>
        <s v="CUST041"/>
        <s v="CUST042"/>
        <s v="CUST043"/>
        <s v="CUST044"/>
        <s v="CUST045"/>
        <s v="CUST046"/>
        <s v="CUST047"/>
        <s v="CUST048"/>
        <s v="CUST049"/>
        <s v="CUST050"/>
        <s v="CUST051"/>
        <s v="CUST052"/>
        <s v="CUST053"/>
        <s v="CUST054"/>
        <s v="CUST055"/>
        <s v="CUST056"/>
        <s v="CUST057"/>
        <s v="CUST058"/>
        <s v="CUST059"/>
        <s v="CUST060"/>
        <s v="CUST061"/>
        <s v="CUST062"/>
        <s v="CUST063"/>
        <s v="CUST064"/>
        <s v="CUST065"/>
        <s v="CUST066"/>
        <s v="CUST067"/>
        <s v="CUST068"/>
        <s v="CUST069"/>
        <s v="CUST070"/>
        <s v="CUST071"/>
        <s v="CUST072"/>
        <s v="CUST073"/>
        <s v="CUST074"/>
        <s v="CUST075"/>
        <s v="CUST076"/>
        <s v="CUST077"/>
        <s v="CUST078"/>
        <s v="CUST079"/>
        <s v="CUST080"/>
        <s v="CUST081"/>
        <s v="CUST082"/>
        <s v="CUST083"/>
        <s v="CUST084"/>
        <s v="CUST085"/>
        <s v="CUST086"/>
        <s v="CUST087"/>
        <s v="CUST088"/>
        <s v="CUST089"/>
        <s v="CUST090"/>
        <s v="CUST091"/>
        <s v="CUST092"/>
        <s v="CUST093"/>
        <s v="CUST094"/>
        <s v="CUST095"/>
        <s v="CUST096"/>
        <s v="CUST097"/>
        <s v="CUST098"/>
        <s v="CUST099"/>
        <s v="CUST100"/>
        <s v="CUST101"/>
        <s v="CUST102"/>
        <s v="CUST103"/>
        <s v="CUST104"/>
        <s v="CUST105"/>
        <s v="CUST106"/>
        <s v="CUST107"/>
        <s v="CUST108"/>
        <s v="CUST109"/>
        <s v="CUST110"/>
        <s v="CUST111"/>
        <s v="CUST112"/>
        <s v="CUST113"/>
        <s v="CUST114"/>
        <s v="CUST115"/>
        <s v="CUST116"/>
        <s v="CUST117"/>
        <s v="CUST118"/>
        <s v="CUST119"/>
        <s v="CUST120"/>
        <s v="CUST121"/>
        <s v="CUST122"/>
        <s v="CUST123"/>
        <s v="CUST124"/>
        <s v="CUST125"/>
        <s v="CUST126"/>
        <s v="CUST127"/>
        <s v="CUST128"/>
        <s v="CUST129"/>
        <s v="CUST130"/>
        <s v="CUST131"/>
        <s v="CUST132"/>
        <s v="CUST133"/>
        <s v="CUST134"/>
        <s v="CUST135"/>
        <s v="CUST136"/>
        <s v="CUST137"/>
        <s v="CUST138"/>
        <s v="CUST139"/>
        <s v="CUST140"/>
        <s v="CUST141"/>
        <s v="CUST142"/>
        <s v="CUST143"/>
        <s v="CUST144"/>
        <s v="CUST145"/>
        <s v="CUST146"/>
        <s v="CUST147"/>
        <s v="CUST148"/>
        <s v="CUST149"/>
        <s v="CUST150"/>
        <s v="CUST151"/>
        <s v="CUST152"/>
        <s v="CUST153"/>
        <s v="CUST154"/>
        <s v="CUST155"/>
        <s v="CUST156"/>
        <s v="CUST157"/>
        <s v="CUST158"/>
        <s v="CUST159"/>
        <s v="CUST160"/>
        <s v="CUST161"/>
        <s v="CUST162"/>
        <s v="CUST163"/>
        <s v="CUST164"/>
        <s v="CUST165"/>
        <s v="CUST166"/>
        <s v="CUST167"/>
        <s v="CUST168"/>
        <s v="CUST169"/>
        <s v="CUST170"/>
        <s v="CUST171"/>
        <s v="CUST172"/>
        <s v="CUST173"/>
        <s v="CUST174"/>
        <s v="CUST175"/>
        <s v="CUST176"/>
        <s v="CUST177"/>
        <s v="CUST178"/>
        <s v="CUST179"/>
        <s v="CUST180"/>
        <s v="CUST181"/>
        <s v="CUST182"/>
        <s v="CUST183"/>
        <s v="CUST184"/>
        <s v="CUST185"/>
        <s v="CUST186"/>
        <s v="CUST187"/>
        <s v="CUST188"/>
        <s v="CUST189"/>
        <s v="CUST190"/>
        <s v="CUST191"/>
        <s v="CUST192"/>
        <s v="CUST193"/>
        <s v="CUST194"/>
        <s v="CUST195"/>
        <s v="CUST196"/>
        <s v="CUST197"/>
        <s v="CUST198"/>
        <s v="CUST199"/>
        <s v="CUST200"/>
        <s v="CUST201"/>
        <s v="CUST202"/>
        <s v="CUST203"/>
        <s v="CUST204"/>
        <s v="CUST205"/>
        <s v="CUST206"/>
        <s v="CUST207"/>
        <s v="CUST208"/>
        <s v="CUST209"/>
        <s v="CUST210"/>
        <s v="CUST211"/>
        <s v="CUST212"/>
        <s v="CUST213"/>
        <s v="CUST214"/>
        <s v="CUST215"/>
        <s v="CUST216"/>
        <s v="CUST217"/>
        <s v="CUST218"/>
        <s v="CUST219"/>
        <s v="CUST220"/>
        <s v="CUST221"/>
        <s v="CUST222"/>
        <s v="CUST223"/>
        <s v="CUST224"/>
        <s v="CUST225"/>
        <s v="CUST226"/>
        <s v="CUST227"/>
        <s v="CUST228"/>
        <s v="CUST229"/>
        <s v="CUST230"/>
        <s v="CUST231"/>
        <s v="CUST232"/>
        <s v="CUST233"/>
        <s v="CUST234"/>
        <s v="CUST235"/>
        <s v="CUST236"/>
        <s v="CUST237"/>
        <s v="CUST238"/>
        <s v="CUST239"/>
        <s v="CUST240"/>
        <s v="CUST241"/>
        <s v="CUST242"/>
        <s v="CUST243"/>
        <s v="CUST244"/>
        <s v="CUST245"/>
        <s v="CUST246"/>
        <s v="CUST247"/>
        <s v="CUST248"/>
        <s v="CUST249"/>
        <s v="CUST250"/>
        <s v="CUST251"/>
        <s v="CUST252"/>
        <s v="CUST253"/>
        <s v="CUST254"/>
        <s v="CUST255"/>
        <s v="CUST256"/>
        <s v="CUST257"/>
        <s v="CUST258"/>
        <s v="CUST259"/>
        <s v="CUST260"/>
        <s v="CUST261"/>
        <s v="CUST262"/>
        <s v="CUST263"/>
        <s v="CUST264"/>
        <s v="CUST265"/>
        <s v="CUST266"/>
        <s v="CUST267"/>
        <s v="CUST268"/>
        <s v="CUST269"/>
        <s v="CUST270"/>
        <s v="CUST271"/>
        <s v="CUST272"/>
        <s v="CUST273"/>
        <s v="CUST274"/>
        <s v="CUST275"/>
        <s v="CUST276"/>
        <s v="CUST277"/>
        <s v="CUST278"/>
        <s v="CUST279"/>
        <s v="CUST280"/>
        <s v="CUST281"/>
        <s v="CUST282"/>
        <s v="CUST283"/>
        <s v="CUST284"/>
        <s v="CUST285"/>
        <s v="CUST286"/>
        <s v="CUST287"/>
        <s v="CUST288"/>
        <s v="CUST289"/>
        <s v="CUST290"/>
        <s v="CUST291"/>
        <s v="CUST292"/>
        <s v="CUST293"/>
        <s v="CUST294"/>
        <s v="CUST295"/>
        <s v="CUST296"/>
        <s v="CUST297"/>
        <s v="CUST298"/>
        <s v="CUST299"/>
        <s v="CUST300"/>
        <s v="CUST301"/>
        <s v="CUST302"/>
        <s v="CUST303"/>
        <s v="CUST304"/>
        <s v="CUST305"/>
        <s v="CUST306"/>
        <s v="CUST307"/>
        <s v="CUST308"/>
        <s v="CUST309"/>
        <s v="CUST310"/>
        <s v="CUST311"/>
        <s v="CUST312"/>
        <s v="CUST313"/>
        <s v="CUST314"/>
        <s v="CUST315"/>
        <s v="CUST316"/>
        <s v="CUST317"/>
        <s v="CUST318"/>
        <s v="CUST319"/>
        <s v="CUST320"/>
        <s v="CUST321"/>
        <s v="CUST322"/>
        <s v="CUST323"/>
        <s v="CUST324"/>
        <s v="CUST325"/>
        <s v="CUST326"/>
        <s v="CUST327"/>
        <s v="CUST328"/>
        <s v="CUST329"/>
        <s v="CUST330"/>
        <s v="CUST331"/>
        <s v="CUST332"/>
        <s v="CUST333"/>
        <s v="CUST334"/>
        <s v="CUST335"/>
        <s v="CUST336"/>
        <s v="CUST337"/>
        <s v="CUST338"/>
        <s v="CUST339"/>
        <s v="CUST340"/>
        <s v="CUST341"/>
        <s v="CUST342"/>
        <s v="CUST343"/>
        <s v="CUST344"/>
        <s v="CUST345"/>
        <s v="CUST346"/>
        <s v="CUST347"/>
        <s v="CUST348"/>
        <s v="CUST349"/>
        <s v="CUST350"/>
        <s v="CUST351"/>
        <s v="CUST352"/>
        <s v="CUST353"/>
        <s v="CUST354"/>
        <s v="CUST355"/>
        <s v="CUST356"/>
        <s v="CUST357"/>
        <s v="CUST358"/>
        <s v="CUST359"/>
        <s v="CUST360"/>
        <s v="CUST361"/>
        <s v="CUST362"/>
        <s v="CUST363"/>
        <s v="CUST364"/>
        <s v="CUST365"/>
        <s v="CUST366"/>
        <s v="CUST367"/>
        <s v="CUST368"/>
        <s v="CUST369"/>
        <s v="CUST370"/>
        <s v="CUST371"/>
        <s v="CUST372"/>
        <s v="CUST373"/>
        <s v="CUST374"/>
        <s v="CUST375"/>
        <s v="CUST376"/>
        <s v="CUST377"/>
        <s v="CUST378"/>
        <s v="CUST379"/>
        <s v="CUST380"/>
        <s v="CUST381"/>
        <s v="CUST382"/>
        <s v="CUST383"/>
        <s v="CUST384"/>
        <s v="CUST385"/>
        <s v="CUST386"/>
        <s v="CUST387"/>
        <s v="CUST388"/>
        <s v="CUST389"/>
        <s v="CUST390"/>
        <s v="CUST391"/>
        <s v="CUST392"/>
        <s v="CUST393"/>
        <s v="CUST394"/>
        <s v="CUST395"/>
        <s v="CUST396"/>
        <s v="CUST397"/>
        <s v="CUST398"/>
        <s v="CUST399"/>
        <s v="CUST400"/>
        <s v="CUST401"/>
        <s v="CUST402"/>
        <s v="CUST403"/>
        <s v="CUST404"/>
        <s v="CUST405"/>
        <s v="CUST406"/>
        <s v="CUST407"/>
        <s v="CUST408"/>
        <s v="CUST409"/>
        <s v="CUST410"/>
        <s v="CUST411"/>
        <s v="CUST412"/>
        <s v="CUST413"/>
        <s v="CUST414"/>
        <s v="CUST415"/>
        <s v="CUST416"/>
        <s v="CUST417"/>
        <s v="CUST418"/>
        <s v="CUST419"/>
        <s v="CUST420"/>
        <s v="CUST421"/>
        <s v="CUST422"/>
        <s v="CUST423"/>
        <s v="CUST424"/>
        <s v="CUST425"/>
        <s v="CUST426"/>
        <s v="CUST427"/>
        <s v="CUST428"/>
        <s v="CUST429"/>
        <s v="CUST430"/>
        <s v="CUST431"/>
        <s v="CUST432"/>
        <s v="CUST433"/>
        <s v="CUST434"/>
        <s v="CUST435"/>
        <s v="CUST436"/>
        <s v="CUST437"/>
        <s v="CUST438"/>
        <s v="CUST439"/>
        <s v="CUST440"/>
        <s v="CUST441"/>
        <s v="CUST442"/>
        <s v="CUST443"/>
        <s v="CUST444"/>
        <s v="CUST445"/>
        <s v="CUST446"/>
        <s v="CUST447"/>
        <s v="CUST448"/>
        <s v="CUST449"/>
        <s v="CUST450"/>
        <s v="CUST451"/>
        <s v="CUST452"/>
        <s v="CUST453"/>
        <s v="CUST454"/>
        <s v="CUST455"/>
        <s v="CUST456"/>
        <s v="CUST457"/>
        <s v="CUST458"/>
        <s v="CUST459"/>
        <s v="CUST460"/>
        <s v="CUST461"/>
        <s v="CUST462"/>
        <s v="CUST463"/>
        <s v="CUST464"/>
        <s v="CUST465"/>
        <s v="CUST466"/>
        <s v="CUST467"/>
        <s v="CUST468"/>
        <s v="CUST469"/>
        <s v="CUST470"/>
        <s v="CUST471"/>
        <s v="CUST472"/>
        <s v="CUST473"/>
        <s v="CUST474"/>
        <s v="CUST475"/>
        <s v="CUST476"/>
        <s v="CUST477"/>
        <s v="CUST478"/>
        <s v="CUST479"/>
        <s v="CUST480"/>
        <s v="CUST481"/>
        <s v="CUST482"/>
        <s v="CUST483"/>
        <s v="CUST484"/>
        <s v="CUST485"/>
        <s v="CUST486"/>
        <s v="CUST487"/>
        <s v="CUST488"/>
        <s v="CUST489"/>
        <s v="CUST490"/>
        <s v="CUST491"/>
        <s v="CUST492"/>
        <s v="CUST493"/>
        <s v="CUST494"/>
        <s v="CUST495"/>
        <s v="CUST496"/>
        <s v="CUST497"/>
        <s v="CUST498"/>
        <s v="CUST499"/>
        <s v="CUST500"/>
        <s v="CUST501"/>
        <s v="CUST502"/>
        <s v="CUST503"/>
        <s v="CUST504"/>
        <s v="CUST505"/>
        <s v="CUST506"/>
        <s v="CUST507"/>
        <s v="CUST508"/>
        <s v="CUST509"/>
        <s v="CUST510"/>
        <s v="CUST511"/>
        <s v="CUST512"/>
        <s v="CUST513"/>
        <s v="CUST514"/>
        <s v="CUST515"/>
        <s v="CUST516"/>
        <s v="CUST517"/>
        <s v="CUST518"/>
        <s v="CUST519"/>
        <s v="CUST520"/>
        <s v="CUST521"/>
        <s v="CUST522"/>
        <s v="CUST523"/>
        <s v="CUST524"/>
        <s v="CUST525"/>
        <s v="CUST526"/>
        <s v="CUST527"/>
        <s v="CUST528"/>
        <s v="CUST529"/>
        <s v="CUST530"/>
        <s v="CUST531"/>
        <s v="CUST532"/>
        <s v="CUST533"/>
        <s v="CUST534"/>
        <s v="CUST535"/>
        <s v="CUST536"/>
        <s v="CUST537"/>
        <s v="CUST538"/>
        <s v="CUST539"/>
        <s v="CUST540"/>
        <s v="CUST541"/>
        <s v="CUST542"/>
        <s v="CUST543"/>
        <s v="CUST544"/>
        <s v="CUST545"/>
        <s v="CUST546"/>
        <s v="CUST547"/>
        <s v="CUST548"/>
        <s v="CUST549"/>
        <s v="CUST550"/>
        <s v="CUST551"/>
        <s v="CUST552"/>
        <s v="CUST553"/>
        <s v="CUST554"/>
        <s v="CUST555"/>
        <s v="CUST556"/>
        <s v="CUST557"/>
        <s v="CUST558"/>
        <s v="CUST559"/>
        <s v="CUST560"/>
        <s v="CUST561"/>
        <s v="CUST562"/>
        <s v="CUST563"/>
        <s v="CUST564"/>
        <s v="CUST565"/>
        <s v="CUST566"/>
        <s v="CUST567"/>
        <s v="CUST568"/>
        <s v="CUST569"/>
        <s v="CUST570"/>
        <s v="CUST571"/>
        <s v="CUST572"/>
        <s v="CUST573"/>
        <s v="CUST574"/>
        <s v="CUST575"/>
        <s v="CUST576"/>
        <s v="CUST577"/>
        <s v="CUST578"/>
        <s v="CUST579"/>
        <s v="CUST580"/>
        <s v="CUST581"/>
        <s v="CUST582"/>
        <s v="CUST583"/>
        <s v="CUST584"/>
        <s v="CUST585"/>
        <s v="CUST586"/>
        <s v="CUST587"/>
        <s v="CUST588"/>
        <s v="CUST589"/>
        <s v="CUST590"/>
        <s v="CUST591"/>
        <s v="CUST592"/>
        <s v="CUST593"/>
        <s v="CUST594"/>
        <s v="CUST595"/>
        <s v="CUST596"/>
        <s v="CUST597"/>
        <s v="CUST598"/>
        <s v="CUST599"/>
        <s v="CUST600"/>
        <s v="CUST601"/>
        <s v="CUST602"/>
        <s v="CUST603"/>
        <s v="CUST604"/>
        <s v="CUST605"/>
        <s v="CUST606"/>
        <s v="CUST607"/>
        <s v="CUST608"/>
        <s v="CUST609"/>
        <s v="CUST610"/>
        <s v="CUST611"/>
        <s v="CUST612"/>
        <s v="CUST613"/>
        <s v="CUST614"/>
        <s v="CUST615"/>
        <s v="CUST616"/>
        <s v="CUST617"/>
        <s v="CUST618"/>
        <s v="CUST619"/>
        <s v="CUST620"/>
        <s v="CUST621"/>
        <s v="CUST622"/>
        <s v="CUST623"/>
        <s v="CUST624"/>
        <s v="CUST625"/>
        <s v="CUST626"/>
        <s v="CUST627"/>
        <s v="CUST628"/>
        <s v="CUST629"/>
        <s v="CUST630"/>
        <s v="CUST631"/>
        <s v="CUST632"/>
        <s v="CUST633"/>
        <s v="CUST634"/>
        <s v="CUST635"/>
        <s v="CUST636"/>
        <s v="CUST637"/>
        <s v="CUST638"/>
        <s v="CUST639"/>
        <s v="CUST640"/>
        <s v="CUST641"/>
        <s v="CUST642"/>
        <s v="CUST643"/>
        <s v="CUST644"/>
        <s v="CUST645"/>
        <s v="CUST646"/>
        <s v="CUST647"/>
        <s v="CUST648"/>
        <s v="CUST649"/>
        <s v="CUST650"/>
        <s v="CUST651"/>
        <s v="CUST652"/>
        <s v="CUST653"/>
        <s v="CUST654"/>
        <s v="CUST655"/>
        <s v="CUST656"/>
        <s v="CUST657"/>
        <s v="CUST658"/>
        <s v="CUST659"/>
        <s v="CUST660"/>
        <s v="CUST661"/>
        <s v="CUST662"/>
        <s v="CUST663"/>
        <s v="CUST664"/>
        <s v="CUST665"/>
        <s v="CUST666"/>
        <s v="CUST667"/>
        <s v="CUST668"/>
        <s v="CUST669"/>
        <s v="CUST670"/>
        <s v="CUST671"/>
        <s v="CUST672"/>
        <s v="CUST673"/>
        <s v="CUST674"/>
        <s v="CUST675"/>
        <s v="CUST676"/>
        <s v="CUST677"/>
        <s v="CUST678"/>
        <s v="CUST679"/>
        <s v="CUST680"/>
        <s v="CUST681"/>
        <s v="CUST682"/>
        <s v="CUST683"/>
        <s v="CUST684"/>
        <s v="CUST685"/>
        <s v="CUST686"/>
        <s v="CUST687"/>
        <s v="CUST688"/>
        <s v="CUST689"/>
        <s v="CUST690"/>
        <s v="CUST691"/>
        <s v="CUST692"/>
        <s v="CUST693"/>
        <s v="CUST694"/>
        <s v="CUST695"/>
        <s v="CUST696"/>
        <s v="CUST697"/>
        <s v="CUST698"/>
        <s v="CUST699"/>
        <s v="CUST700"/>
        <s v="CUST701"/>
        <s v="CUST702"/>
        <s v="CUST703"/>
        <s v="CUST704"/>
        <s v="CUST705"/>
        <s v="CUST706"/>
        <s v="CUST707"/>
        <s v="CUST708"/>
        <s v="CUST709"/>
        <s v="CUST710"/>
        <s v="CUST711"/>
        <s v="CUST712"/>
        <s v="CUST713"/>
        <s v="CUST714"/>
        <s v="CUST715"/>
        <s v="CUST716"/>
        <s v="CUST717"/>
        <s v="CUST718"/>
        <s v="CUST719"/>
        <s v="CUST720"/>
        <s v="CUST721"/>
        <s v="CUST722"/>
        <s v="CUST723"/>
        <s v="CUST724"/>
        <s v="CUST725"/>
        <s v="CUST726"/>
        <s v="CUST727"/>
        <s v="CUST728"/>
        <s v="CUST729"/>
        <s v="CUST730"/>
        <s v="CUST731"/>
        <s v="CUST732"/>
        <s v="CUST733"/>
        <s v="CUST734"/>
        <s v="CUST735"/>
        <s v="CUST736"/>
        <s v="CUST737"/>
        <s v="CUST738"/>
        <s v="CUST739"/>
        <s v="CUST740"/>
        <s v="CUST741"/>
        <s v="CUST742"/>
        <s v="CUST743"/>
        <s v="CUST744"/>
        <s v="CUST745"/>
        <s v="CUST746"/>
        <s v="CUST747"/>
        <s v="CUST748"/>
        <s v="CUST749"/>
        <s v="CUST750"/>
        <s v="CUST751"/>
        <s v="CUST752"/>
        <s v="CUST753"/>
        <s v="CUST754"/>
        <s v="CUST755"/>
        <s v="CUST756"/>
        <s v="CUST757"/>
        <s v="CUST758"/>
        <s v="CUST759"/>
        <s v="CUST760"/>
        <s v="CUST761"/>
        <s v="CUST762"/>
        <s v="CUST763"/>
        <s v="CUST764"/>
        <s v="CUST765"/>
        <s v="CUST766"/>
        <s v="CUST767"/>
        <s v="CUST768"/>
        <s v="CUST769"/>
        <s v="CUST770"/>
        <s v="CUST771"/>
        <s v="CUST772"/>
        <s v="CUST773"/>
        <s v="CUST774"/>
        <s v="CUST775"/>
        <s v="CUST776"/>
        <s v="CUST777"/>
        <s v="CUST778"/>
        <s v="CUST779"/>
        <s v="CUST780"/>
        <s v="CUST781"/>
        <s v="CUST782"/>
        <s v="CUST783"/>
        <s v="CUST784"/>
        <s v="CUST785"/>
        <s v="CUST786"/>
        <s v="CUST787"/>
        <s v="CUST788"/>
        <s v="CUST789"/>
        <s v="CUST790"/>
        <s v="CUST791"/>
        <s v="CUST792"/>
        <s v="CUST793"/>
        <s v="CUST794"/>
        <s v="CUST795"/>
        <s v="CUST796"/>
        <s v="CUST797"/>
        <s v="CUST798"/>
        <s v="CUST799"/>
        <s v="CUST800"/>
        <s v="CUST801"/>
        <s v="CUST802"/>
        <s v="CUST803"/>
        <s v="CUST804"/>
        <s v="CUST805"/>
        <s v="CUST806"/>
        <s v="CUST807"/>
        <s v="CUST808"/>
        <s v="CUST809"/>
        <s v="CUST810"/>
        <s v="CUST811"/>
        <s v="CUST812"/>
        <s v="CUST813"/>
        <s v="CUST814"/>
        <s v="CUST815"/>
        <s v="CUST816"/>
        <s v="CUST817"/>
        <s v="CUST818"/>
        <s v="CUST819"/>
        <s v="CUST820"/>
        <s v="CUST821"/>
        <s v="CUST822"/>
        <s v="CUST823"/>
        <s v="CUST824"/>
        <s v="CUST825"/>
        <s v="CUST826"/>
        <s v="CUST827"/>
        <s v="CUST828"/>
        <s v="CUST829"/>
        <s v="CUST830"/>
        <s v="CUST831"/>
        <s v="CUST832"/>
        <s v="CUST833"/>
        <s v="CUST834"/>
        <s v="CUST835"/>
        <s v="CUST836"/>
        <s v="CUST837"/>
        <s v="CUST838"/>
        <s v="CUST839"/>
        <s v="CUST840"/>
        <s v="CUST841"/>
        <s v="CUST842"/>
        <s v="CUST843"/>
        <s v="CUST844"/>
        <s v="CUST845"/>
        <s v="CUST846"/>
        <s v="CUST847"/>
        <s v="CUST848"/>
        <s v="CUST849"/>
        <s v="CUST850"/>
        <s v="CUST851"/>
        <s v="CUST852"/>
        <s v="CUST853"/>
        <s v="CUST854"/>
        <s v="CUST855"/>
        <s v="CUST856"/>
        <s v="CUST857"/>
        <s v="CUST858"/>
        <s v="CUST859"/>
        <s v="CUST860"/>
        <s v="CUST861"/>
        <s v="CUST862"/>
        <s v="CUST863"/>
        <s v="CUST864"/>
        <s v="CUST865"/>
        <s v="CUST866"/>
        <s v="CUST867"/>
        <s v="CUST868"/>
        <s v="CUST869"/>
        <s v="CUST870"/>
        <s v="CUST871"/>
        <s v="CUST872"/>
        <s v="CUST873"/>
        <s v="CUST874"/>
        <s v="CUST875"/>
        <s v="CUST876"/>
        <s v="CUST877"/>
        <s v="CUST878"/>
        <s v="CUST879"/>
        <s v="CUST880"/>
        <s v="CUST881"/>
        <s v="CUST882"/>
        <s v="CUST883"/>
        <s v="CUST884"/>
        <s v="CUST885"/>
        <s v="CUST886"/>
        <s v="CUST887"/>
        <s v="CUST888"/>
        <s v="CUST889"/>
        <s v="CUST890"/>
        <s v="CUST891"/>
        <s v="CUST892"/>
        <s v="CUST893"/>
        <s v="CUST894"/>
        <s v="CUST895"/>
        <s v="CUST896"/>
        <s v="CUST897"/>
        <s v="CUST898"/>
        <s v="CUST899"/>
        <s v="CUST900"/>
        <s v="CUST901"/>
        <s v="CUST902"/>
        <s v="CUST903"/>
        <s v="CUST904"/>
        <s v="CUST905"/>
        <s v="CUST906"/>
        <s v="CUST907"/>
        <s v="CUST908"/>
        <s v="CUST909"/>
        <s v="CUST910"/>
        <s v="CUST911"/>
        <s v="CUST912"/>
        <s v="CUST913"/>
        <s v="CUST914"/>
        <s v="CUST915"/>
        <s v="CUST916"/>
        <s v="CUST917"/>
        <s v="CUST918"/>
        <s v="CUST919"/>
        <s v="CUST920"/>
        <s v="CUST921"/>
        <s v="CUST922"/>
        <s v="CUST923"/>
        <s v="CUST924"/>
        <s v="CUST925"/>
        <s v="CUST926"/>
        <s v="CUST927"/>
        <s v="CUST928"/>
        <s v="CUST929"/>
        <s v="CUST930"/>
        <s v="CUST931"/>
        <s v="CUST932"/>
        <s v="CUST933"/>
        <s v="CUST934"/>
        <s v="CUST935"/>
        <s v="CUST936"/>
        <s v="CUST937"/>
        <s v="CUST938"/>
        <s v="CUST939"/>
        <s v="CUST940"/>
        <s v="CUST941"/>
        <s v="CUST942"/>
        <s v="CUST943"/>
        <s v="CUST944"/>
        <s v="CUST945"/>
        <s v="CUST946"/>
        <s v="CUST947"/>
        <s v="CUST948"/>
        <s v="CUST949"/>
        <s v="CUST950"/>
        <s v="CUST951"/>
        <s v="CUST952"/>
        <s v="CUST953"/>
        <s v="CUST954"/>
        <s v="CUST955"/>
        <s v="CUST956"/>
        <s v="CUST957"/>
        <s v="CUST958"/>
        <s v="CUST959"/>
        <s v="CUST960"/>
        <s v="CUST961"/>
        <s v="CUST962"/>
        <s v="CUST963"/>
        <s v="CUST964"/>
        <s v="CUST965"/>
        <s v="CUST966"/>
        <s v="CUST967"/>
        <s v="CUST968"/>
        <s v="CUST969"/>
        <s v="CUST970"/>
        <s v="CUST971"/>
        <s v="CUST972"/>
        <s v="CUST973"/>
        <s v="CUST974"/>
        <s v="CUST975"/>
        <s v="CUST976"/>
        <s v="CUST977"/>
        <s v="CUST978"/>
        <s v="CUST979"/>
        <s v="CUST980"/>
        <s v="CUST981"/>
        <s v="CUST982"/>
        <s v="CUST983"/>
        <s v="CUST984"/>
        <s v="CUST985"/>
        <s v="CUST986"/>
        <s v="CUST987"/>
        <s v="CUST988"/>
        <s v="CUST989"/>
        <s v="CUST990"/>
        <s v="CUST991"/>
        <s v="CUST992"/>
        <s v="CUST993"/>
        <s v="CUST994"/>
        <s v="CUST995"/>
        <s v="CUST996"/>
        <s v="CUST997"/>
        <s v="CUST998"/>
        <s v="CUST999"/>
        <s v="CUST1000"/>
      </sharedItems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 count="47">
        <n v="34"/>
        <n v="26"/>
        <n v="50"/>
        <n v="37"/>
        <n v="30"/>
        <n v="45"/>
        <n v="46"/>
        <n v="63"/>
        <n v="52"/>
        <n v="23"/>
        <n v="35"/>
        <n v="22"/>
        <n v="64"/>
        <n v="42"/>
        <n v="19"/>
        <n v="27"/>
        <n v="47"/>
        <n v="62"/>
        <n v="18"/>
        <n v="49"/>
        <n v="28"/>
        <n v="38"/>
        <n v="43"/>
        <n v="39"/>
        <n v="44"/>
        <n v="51"/>
        <n v="58"/>
        <n v="48"/>
        <n v="55"/>
        <n v="20"/>
        <n v="40"/>
        <n v="54"/>
        <n v="36"/>
        <n v="31"/>
        <n v="21"/>
        <n v="57"/>
        <n v="25"/>
        <n v="56"/>
        <n v="29"/>
        <n v="61"/>
        <n v="32"/>
        <n v="41"/>
        <n v="59"/>
        <n v="60"/>
        <n v="33"/>
        <n v="53"/>
        <n v="24"/>
      </sharedItems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Amount" numFmtId="0">
      <sharedItems containsSemiMixedTypes="0" containsString="0" containsNumber="1" containsInteger="1" minValue="25" maxValue="2000" count="18">
        <n v="150"/>
        <n v="1000"/>
        <n v="30"/>
        <n v="500"/>
        <n v="100"/>
        <n v="50"/>
        <n v="600"/>
        <n v="200"/>
        <n v="75"/>
        <n v="1500"/>
        <n v="120"/>
        <n v="2000"/>
        <n v="900"/>
        <n v="300"/>
        <n v="1200"/>
        <n v="90"/>
        <n v="25"/>
        <n v="60"/>
      </sharedItems>
    </cacheField>
    <cacheField name="Quarters" numFmtId="0" databaseField="0">
      <fieldGroup base="1">
        <rangePr groupBy="quarters" startDate="2023-01-01T00:00:00" endDate="2024-01-02T00:00:00"/>
        <groupItems count="6">
          <s v="&lt;01-01-2023"/>
          <s v="Qtr1"/>
          <s v="Qtr2"/>
          <s v="Qtr3"/>
          <s v="Qtr4"/>
          <s v="&gt;02-01-2024"/>
        </groupItems>
      </fieldGroup>
    </cacheField>
    <cacheField name="Years" numFmtId="0" databaseField="0">
      <fieldGroup base="1">
        <rangePr groupBy="years" startDate="2023-01-01T00:00:00" endDate="2024-01-02T00:00:00"/>
        <groupItems count="4">
          <s v="&lt;01-01-2023"/>
          <s v="2023"/>
          <s v="2024"/>
          <s v="&gt;02-01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9.582906828706" createdVersion="7" refreshedVersion="7" minRefreshableVersion="3" recordCount="1000" xr:uid="{00000000-000A-0000-FFFF-FFFF1D000000}">
  <cacheSource type="worksheet">
    <worksheetSource ref="A1:J1001" sheet="L...retail_sales_dataset  PROJE"/>
  </cacheSource>
  <cacheFields count="10">
    <cacheField name="Transaction ID" numFmtId="0">
      <sharedItems containsSemiMixedTypes="0" containsString="0" containsNumber="1" containsInteger="1" minValue="1" maxValue="1000" count="1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</sharedItems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 count="1000">
        <s v="CUST001"/>
        <s v="CUST002"/>
        <s v="CUST003"/>
        <s v="CUST004"/>
        <s v="CUST005"/>
        <s v="CUST006"/>
        <s v="CUST007"/>
        <s v="CUST008"/>
        <s v="CUST009"/>
        <s v="CUST010"/>
        <s v="CUST011"/>
        <s v="CUST012"/>
        <s v="CUST013"/>
        <s v="CUST014"/>
        <s v="CUST015"/>
        <s v="CUST016"/>
        <s v="CUST017"/>
        <s v="CUST018"/>
        <s v="CUST019"/>
        <s v="CUST020"/>
        <s v="CUST021"/>
        <s v="CUST022"/>
        <s v="CUST023"/>
        <s v="CUST024"/>
        <s v="CUST025"/>
        <s v="CUST026"/>
        <s v="CUST027"/>
        <s v="CUST028"/>
        <s v="CUST029"/>
        <s v="CUST030"/>
        <s v="CUST031"/>
        <s v="CUST032"/>
        <s v="CUST033"/>
        <s v="CUST034"/>
        <s v="CUST035"/>
        <s v="CUST036"/>
        <s v="CUST037"/>
        <s v="CUST038"/>
        <s v="CUST039"/>
        <s v="CUST040"/>
        <s v="CUST041"/>
        <s v="CUST042"/>
        <s v="CUST043"/>
        <s v="CUST044"/>
        <s v="CUST045"/>
        <s v="CUST046"/>
        <s v="CUST047"/>
        <s v="CUST048"/>
        <s v="CUST049"/>
        <s v="CUST050"/>
        <s v="CUST051"/>
        <s v="CUST052"/>
        <s v="CUST053"/>
        <s v="CUST054"/>
        <s v="CUST055"/>
        <s v="CUST056"/>
        <s v="CUST057"/>
        <s v="CUST058"/>
        <s v="CUST059"/>
        <s v="CUST060"/>
        <s v="CUST061"/>
        <s v="CUST062"/>
        <s v="CUST063"/>
        <s v="CUST064"/>
        <s v="CUST065"/>
        <s v="CUST066"/>
        <s v="CUST067"/>
        <s v="CUST068"/>
        <s v="CUST069"/>
        <s v="CUST070"/>
        <s v="CUST071"/>
        <s v="CUST072"/>
        <s v="CUST073"/>
        <s v="CUST074"/>
        <s v="CUST075"/>
        <s v="CUST076"/>
        <s v="CUST077"/>
        <s v="CUST078"/>
        <s v="CUST079"/>
        <s v="CUST080"/>
        <s v="CUST081"/>
        <s v="CUST082"/>
        <s v="CUST083"/>
        <s v="CUST084"/>
        <s v="CUST085"/>
        <s v="CUST086"/>
        <s v="CUST087"/>
        <s v="CUST088"/>
        <s v="CUST089"/>
        <s v="CUST090"/>
        <s v="CUST091"/>
        <s v="CUST092"/>
        <s v="CUST093"/>
        <s v="CUST094"/>
        <s v="CUST095"/>
        <s v="CUST096"/>
        <s v="CUST097"/>
        <s v="CUST098"/>
        <s v="CUST099"/>
        <s v="CUST100"/>
        <s v="CUST101"/>
        <s v="CUST102"/>
        <s v="CUST103"/>
        <s v="CUST104"/>
        <s v="CUST105"/>
        <s v="CUST106"/>
        <s v="CUST107"/>
        <s v="CUST108"/>
        <s v="CUST109"/>
        <s v="CUST110"/>
        <s v="CUST111"/>
        <s v="CUST112"/>
        <s v="CUST113"/>
        <s v="CUST114"/>
        <s v="CUST115"/>
        <s v="CUST116"/>
        <s v="CUST117"/>
        <s v="CUST118"/>
        <s v="CUST119"/>
        <s v="CUST120"/>
        <s v="CUST121"/>
        <s v="CUST122"/>
        <s v="CUST123"/>
        <s v="CUST124"/>
        <s v="CUST125"/>
        <s v="CUST126"/>
        <s v="CUST127"/>
        <s v="CUST128"/>
        <s v="CUST129"/>
        <s v="CUST130"/>
        <s v="CUST131"/>
        <s v="CUST132"/>
        <s v="CUST133"/>
        <s v="CUST134"/>
        <s v="CUST135"/>
        <s v="CUST136"/>
        <s v="CUST137"/>
        <s v="CUST138"/>
        <s v="CUST139"/>
        <s v="CUST140"/>
        <s v="CUST141"/>
        <s v="CUST142"/>
        <s v="CUST143"/>
        <s v="CUST144"/>
        <s v="CUST145"/>
        <s v="CUST146"/>
        <s v="CUST147"/>
        <s v="CUST148"/>
        <s v="CUST149"/>
        <s v="CUST150"/>
        <s v="CUST151"/>
        <s v="CUST152"/>
        <s v="CUST153"/>
        <s v="CUST154"/>
        <s v="CUST155"/>
        <s v="CUST156"/>
        <s v="CUST157"/>
        <s v="CUST158"/>
        <s v="CUST159"/>
        <s v="CUST160"/>
        <s v="CUST161"/>
        <s v="CUST162"/>
        <s v="CUST163"/>
        <s v="CUST164"/>
        <s v="CUST165"/>
        <s v="CUST166"/>
        <s v="CUST167"/>
        <s v="CUST168"/>
        <s v="CUST169"/>
        <s v="CUST170"/>
        <s v="CUST171"/>
        <s v="CUST172"/>
        <s v="CUST173"/>
        <s v="CUST174"/>
        <s v="CUST175"/>
        <s v="CUST176"/>
        <s v="CUST177"/>
        <s v="CUST178"/>
        <s v="CUST179"/>
        <s v="CUST180"/>
        <s v="CUST181"/>
        <s v="CUST182"/>
        <s v="CUST183"/>
        <s v="CUST184"/>
        <s v="CUST185"/>
        <s v="CUST186"/>
        <s v="CUST187"/>
        <s v="CUST188"/>
        <s v="CUST189"/>
        <s v="CUST190"/>
        <s v="CUST191"/>
        <s v="CUST192"/>
        <s v="CUST193"/>
        <s v="CUST194"/>
        <s v="CUST195"/>
        <s v="CUST196"/>
        <s v="CUST197"/>
        <s v="CUST198"/>
        <s v="CUST199"/>
        <s v="CUST200"/>
        <s v="CUST201"/>
        <s v="CUST202"/>
        <s v="CUST203"/>
        <s v="CUST204"/>
        <s v="CUST205"/>
        <s v="CUST206"/>
        <s v="CUST207"/>
        <s v="CUST208"/>
        <s v="CUST209"/>
        <s v="CUST210"/>
        <s v="CUST211"/>
        <s v="CUST212"/>
        <s v="CUST213"/>
        <s v="CUST214"/>
        <s v="CUST215"/>
        <s v="CUST216"/>
        <s v="CUST217"/>
        <s v="CUST218"/>
        <s v="CUST219"/>
        <s v="CUST220"/>
        <s v="CUST221"/>
        <s v="CUST222"/>
        <s v="CUST223"/>
        <s v="CUST224"/>
        <s v="CUST225"/>
        <s v="CUST226"/>
        <s v="CUST227"/>
        <s v="CUST228"/>
        <s v="CUST229"/>
        <s v="CUST230"/>
        <s v="CUST231"/>
        <s v="CUST232"/>
        <s v="CUST233"/>
        <s v="CUST234"/>
        <s v="CUST235"/>
        <s v="CUST236"/>
        <s v="CUST237"/>
        <s v="CUST238"/>
        <s v="CUST239"/>
        <s v="CUST240"/>
        <s v="CUST241"/>
        <s v="CUST242"/>
        <s v="CUST243"/>
        <s v="CUST244"/>
        <s v="CUST245"/>
        <s v="CUST246"/>
        <s v="CUST247"/>
        <s v="CUST248"/>
        <s v="CUST249"/>
        <s v="CUST250"/>
        <s v="CUST251"/>
        <s v="CUST252"/>
        <s v="CUST253"/>
        <s v="CUST254"/>
        <s v="CUST255"/>
        <s v="CUST256"/>
        <s v="CUST257"/>
        <s v="CUST258"/>
        <s v="CUST259"/>
        <s v="CUST260"/>
        <s v="CUST261"/>
        <s v="CUST262"/>
        <s v="CUST263"/>
        <s v="CUST264"/>
        <s v="CUST265"/>
        <s v="CUST266"/>
        <s v="CUST267"/>
        <s v="CUST268"/>
        <s v="CUST269"/>
        <s v="CUST270"/>
        <s v="CUST271"/>
        <s v="CUST272"/>
        <s v="CUST273"/>
        <s v="CUST274"/>
        <s v="CUST275"/>
        <s v="CUST276"/>
        <s v="CUST277"/>
        <s v="CUST278"/>
        <s v="CUST279"/>
        <s v="CUST280"/>
        <s v="CUST281"/>
        <s v="CUST282"/>
        <s v="CUST283"/>
        <s v="CUST284"/>
        <s v="CUST285"/>
        <s v="CUST286"/>
        <s v="CUST287"/>
        <s v="CUST288"/>
        <s v="CUST289"/>
        <s v="CUST290"/>
        <s v="CUST291"/>
        <s v="CUST292"/>
        <s v="CUST293"/>
        <s v="CUST294"/>
        <s v="CUST295"/>
        <s v="CUST296"/>
        <s v="CUST297"/>
        <s v="CUST298"/>
        <s v="CUST299"/>
        <s v="CUST300"/>
        <s v="CUST301"/>
        <s v="CUST302"/>
        <s v="CUST303"/>
        <s v="CUST304"/>
        <s v="CUST305"/>
        <s v="CUST306"/>
        <s v="CUST307"/>
        <s v="CUST308"/>
        <s v="CUST309"/>
        <s v="CUST310"/>
        <s v="CUST311"/>
        <s v="CUST312"/>
        <s v="CUST313"/>
        <s v="CUST314"/>
        <s v="CUST315"/>
        <s v="CUST316"/>
        <s v="CUST317"/>
        <s v="CUST318"/>
        <s v="CUST319"/>
        <s v="CUST320"/>
        <s v="CUST321"/>
        <s v="CUST322"/>
        <s v="CUST323"/>
        <s v="CUST324"/>
        <s v="CUST325"/>
        <s v="CUST326"/>
        <s v="CUST327"/>
        <s v="CUST328"/>
        <s v="CUST329"/>
        <s v="CUST330"/>
        <s v="CUST331"/>
        <s v="CUST332"/>
        <s v="CUST333"/>
        <s v="CUST334"/>
        <s v="CUST335"/>
        <s v="CUST336"/>
        <s v="CUST337"/>
        <s v="CUST338"/>
        <s v="CUST339"/>
        <s v="CUST340"/>
        <s v="CUST341"/>
        <s v="CUST342"/>
        <s v="CUST343"/>
        <s v="CUST344"/>
        <s v="CUST345"/>
        <s v="CUST346"/>
        <s v="CUST347"/>
        <s v="CUST348"/>
        <s v="CUST349"/>
        <s v="CUST350"/>
        <s v="CUST351"/>
        <s v="CUST352"/>
        <s v="CUST353"/>
        <s v="CUST354"/>
        <s v="CUST355"/>
        <s v="CUST356"/>
        <s v="CUST357"/>
        <s v="CUST358"/>
        <s v="CUST359"/>
        <s v="CUST360"/>
        <s v="CUST361"/>
        <s v="CUST362"/>
        <s v="CUST363"/>
        <s v="CUST364"/>
        <s v="CUST365"/>
        <s v="CUST366"/>
        <s v="CUST367"/>
        <s v="CUST368"/>
        <s v="CUST369"/>
        <s v="CUST370"/>
        <s v="CUST371"/>
        <s v="CUST372"/>
        <s v="CUST373"/>
        <s v="CUST374"/>
        <s v="CUST375"/>
        <s v="CUST376"/>
        <s v="CUST377"/>
        <s v="CUST378"/>
        <s v="CUST379"/>
        <s v="CUST380"/>
        <s v="CUST381"/>
        <s v="CUST382"/>
        <s v="CUST383"/>
        <s v="CUST384"/>
        <s v="CUST385"/>
        <s v="CUST386"/>
        <s v="CUST387"/>
        <s v="CUST388"/>
        <s v="CUST389"/>
        <s v="CUST390"/>
        <s v="CUST391"/>
        <s v="CUST392"/>
        <s v="CUST393"/>
        <s v="CUST394"/>
        <s v="CUST395"/>
        <s v="CUST396"/>
        <s v="CUST397"/>
        <s v="CUST398"/>
        <s v="CUST399"/>
        <s v="CUST400"/>
        <s v="CUST401"/>
        <s v="CUST402"/>
        <s v="CUST403"/>
        <s v="CUST404"/>
        <s v="CUST405"/>
        <s v="CUST406"/>
        <s v="CUST407"/>
        <s v="CUST408"/>
        <s v="CUST409"/>
        <s v="CUST410"/>
        <s v="CUST411"/>
        <s v="CUST412"/>
        <s v="CUST413"/>
        <s v="CUST414"/>
        <s v="CUST415"/>
        <s v="CUST416"/>
        <s v="CUST417"/>
        <s v="CUST418"/>
        <s v="CUST419"/>
        <s v="CUST420"/>
        <s v="CUST421"/>
        <s v="CUST422"/>
        <s v="CUST423"/>
        <s v="CUST424"/>
        <s v="CUST425"/>
        <s v="CUST426"/>
        <s v="CUST427"/>
        <s v="CUST428"/>
        <s v="CUST429"/>
        <s v="CUST430"/>
        <s v="CUST431"/>
        <s v="CUST432"/>
        <s v="CUST433"/>
        <s v="CUST434"/>
        <s v="CUST435"/>
        <s v="CUST436"/>
        <s v="CUST437"/>
        <s v="CUST438"/>
        <s v="CUST439"/>
        <s v="CUST440"/>
        <s v="CUST441"/>
        <s v="CUST442"/>
        <s v="CUST443"/>
        <s v="CUST444"/>
        <s v="CUST445"/>
        <s v="CUST446"/>
        <s v="CUST447"/>
        <s v="CUST448"/>
        <s v="CUST449"/>
        <s v="CUST450"/>
        <s v="CUST451"/>
        <s v="CUST452"/>
        <s v="CUST453"/>
        <s v="CUST454"/>
        <s v="CUST455"/>
        <s v="CUST456"/>
        <s v="CUST457"/>
        <s v="CUST458"/>
        <s v="CUST459"/>
        <s v="CUST460"/>
        <s v="CUST461"/>
        <s v="CUST462"/>
        <s v="CUST463"/>
        <s v="CUST464"/>
        <s v="CUST465"/>
        <s v="CUST466"/>
        <s v="CUST467"/>
        <s v="CUST468"/>
        <s v="CUST469"/>
        <s v="CUST470"/>
        <s v="CUST471"/>
        <s v="CUST472"/>
        <s v="CUST473"/>
        <s v="CUST474"/>
        <s v="CUST475"/>
        <s v="CUST476"/>
        <s v="CUST477"/>
        <s v="CUST478"/>
        <s v="CUST479"/>
        <s v="CUST480"/>
        <s v="CUST481"/>
        <s v="CUST482"/>
        <s v="CUST483"/>
        <s v="CUST484"/>
        <s v="CUST485"/>
        <s v="CUST486"/>
        <s v="CUST487"/>
        <s v="CUST488"/>
        <s v="CUST489"/>
        <s v="CUST490"/>
        <s v="CUST491"/>
        <s v="CUST492"/>
        <s v="CUST493"/>
        <s v="CUST494"/>
        <s v="CUST495"/>
        <s v="CUST496"/>
        <s v="CUST497"/>
        <s v="CUST498"/>
        <s v="CUST499"/>
        <s v="CUST500"/>
        <s v="CUST501"/>
        <s v="CUST502"/>
        <s v="CUST503"/>
        <s v="CUST504"/>
        <s v="CUST505"/>
        <s v="CUST506"/>
        <s v="CUST507"/>
        <s v="CUST508"/>
        <s v="CUST509"/>
        <s v="CUST510"/>
        <s v="CUST511"/>
        <s v="CUST512"/>
        <s v="CUST513"/>
        <s v="CUST514"/>
        <s v="CUST515"/>
        <s v="CUST516"/>
        <s v="CUST517"/>
        <s v="CUST518"/>
        <s v="CUST519"/>
        <s v="CUST520"/>
        <s v="CUST521"/>
        <s v="CUST522"/>
        <s v="CUST523"/>
        <s v="CUST524"/>
        <s v="CUST525"/>
        <s v="CUST526"/>
        <s v="CUST527"/>
        <s v="CUST528"/>
        <s v="CUST529"/>
        <s v="CUST530"/>
        <s v="CUST531"/>
        <s v="CUST532"/>
        <s v="CUST533"/>
        <s v="CUST534"/>
        <s v="CUST535"/>
        <s v="CUST536"/>
        <s v="CUST537"/>
        <s v="CUST538"/>
        <s v="CUST539"/>
        <s v="CUST540"/>
        <s v="CUST541"/>
        <s v="CUST542"/>
        <s v="CUST543"/>
        <s v="CUST544"/>
        <s v="CUST545"/>
        <s v="CUST546"/>
        <s v="CUST547"/>
        <s v="CUST548"/>
        <s v="CUST549"/>
        <s v="CUST550"/>
        <s v="CUST551"/>
        <s v="CUST552"/>
        <s v="CUST553"/>
        <s v="CUST554"/>
        <s v="CUST555"/>
        <s v="CUST556"/>
        <s v="CUST557"/>
        <s v="CUST558"/>
        <s v="CUST559"/>
        <s v="CUST560"/>
        <s v="CUST561"/>
        <s v="CUST562"/>
        <s v="CUST563"/>
        <s v="CUST564"/>
        <s v="CUST565"/>
        <s v="CUST566"/>
        <s v="CUST567"/>
        <s v="CUST568"/>
        <s v="CUST569"/>
        <s v="CUST570"/>
        <s v="CUST571"/>
        <s v="CUST572"/>
        <s v="CUST573"/>
        <s v="CUST574"/>
        <s v="CUST575"/>
        <s v="CUST576"/>
        <s v="CUST577"/>
        <s v="CUST578"/>
        <s v="CUST579"/>
        <s v="CUST580"/>
        <s v="CUST581"/>
        <s v="CUST582"/>
        <s v="CUST583"/>
        <s v="CUST584"/>
        <s v="CUST585"/>
        <s v="CUST586"/>
        <s v="CUST587"/>
        <s v="CUST588"/>
        <s v="CUST589"/>
        <s v="CUST590"/>
        <s v="CUST591"/>
        <s v="CUST592"/>
        <s v="CUST593"/>
        <s v="CUST594"/>
        <s v="CUST595"/>
        <s v="CUST596"/>
        <s v="CUST597"/>
        <s v="CUST598"/>
        <s v="CUST599"/>
        <s v="CUST600"/>
        <s v="CUST601"/>
        <s v="CUST602"/>
        <s v="CUST603"/>
        <s v="CUST604"/>
        <s v="CUST605"/>
        <s v="CUST606"/>
        <s v="CUST607"/>
        <s v="CUST608"/>
        <s v="CUST609"/>
        <s v="CUST610"/>
        <s v="CUST611"/>
        <s v="CUST612"/>
        <s v="CUST613"/>
        <s v="CUST614"/>
        <s v="CUST615"/>
        <s v="CUST616"/>
        <s v="CUST617"/>
        <s v="CUST618"/>
        <s v="CUST619"/>
        <s v="CUST620"/>
        <s v="CUST621"/>
        <s v="CUST622"/>
        <s v="CUST623"/>
        <s v="CUST624"/>
        <s v="CUST625"/>
        <s v="CUST626"/>
        <s v="CUST627"/>
        <s v="CUST628"/>
        <s v="CUST629"/>
        <s v="CUST630"/>
        <s v="CUST631"/>
        <s v="CUST632"/>
        <s v="CUST633"/>
        <s v="CUST634"/>
        <s v="CUST635"/>
        <s v="CUST636"/>
        <s v="CUST637"/>
        <s v="CUST638"/>
        <s v="CUST639"/>
        <s v="CUST640"/>
        <s v="CUST641"/>
        <s v="CUST642"/>
        <s v="CUST643"/>
        <s v="CUST644"/>
        <s v="CUST645"/>
        <s v="CUST646"/>
        <s v="CUST647"/>
        <s v="CUST648"/>
        <s v="CUST649"/>
        <s v="CUST650"/>
        <s v="CUST651"/>
        <s v="CUST652"/>
        <s v="CUST653"/>
        <s v="CUST654"/>
        <s v="CUST655"/>
        <s v="CUST656"/>
        <s v="CUST657"/>
        <s v="CUST658"/>
        <s v="CUST659"/>
        <s v="CUST660"/>
        <s v="CUST661"/>
        <s v="CUST662"/>
        <s v="CUST663"/>
        <s v="CUST664"/>
        <s v="CUST665"/>
        <s v="CUST666"/>
        <s v="CUST667"/>
        <s v="CUST668"/>
        <s v="CUST669"/>
        <s v="CUST670"/>
        <s v="CUST671"/>
        <s v="CUST672"/>
        <s v="CUST673"/>
        <s v="CUST674"/>
        <s v="CUST675"/>
        <s v="CUST676"/>
        <s v="CUST677"/>
        <s v="CUST678"/>
        <s v="CUST679"/>
        <s v="CUST680"/>
        <s v="CUST681"/>
        <s v="CUST682"/>
        <s v="CUST683"/>
        <s v="CUST684"/>
        <s v="CUST685"/>
        <s v="CUST686"/>
        <s v="CUST687"/>
        <s v="CUST688"/>
        <s v="CUST689"/>
        <s v="CUST690"/>
        <s v="CUST691"/>
        <s v="CUST692"/>
        <s v="CUST693"/>
        <s v="CUST694"/>
        <s v="CUST695"/>
        <s v="CUST696"/>
        <s v="CUST697"/>
        <s v="CUST698"/>
        <s v="CUST699"/>
        <s v="CUST700"/>
        <s v="CUST701"/>
        <s v="CUST702"/>
        <s v="CUST703"/>
        <s v="CUST704"/>
        <s v="CUST705"/>
        <s v="CUST706"/>
        <s v="CUST707"/>
        <s v="CUST708"/>
        <s v="CUST709"/>
        <s v="CUST710"/>
        <s v="CUST711"/>
        <s v="CUST712"/>
        <s v="CUST713"/>
        <s v="CUST714"/>
        <s v="CUST715"/>
        <s v="CUST716"/>
        <s v="CUST717"/>
        <s v="CUST718"/>
        <s v="CUST719"/>
        <s v="CUST720"/>
        <s v="CUST721"/>
        <s v="CUST722"/>
        <s v="CUST723"/>
        <s v="CUST724"/>
        <s v="CUST725"/>
        <s v="CUST726"/>
        <s v="CUST727"/>
        <s v="CUST728"/>
        <s v="CUST729"/>
        <s v="CUST730"/>
        <s v="CUST731"/>
        <s v="CUST732"/>
        <s v="CUST733"/>
        <s v="CUST734"/>
        <s v="CUST735"/>
        <s v="CUST736"/>
        <s v="CUST737"/>
        <s v="CUST738"/>
        <s v="CUST739"/>
        <s v="CUST740"/>
        <s v="CUST741"/>
        <s v="CUST742"/>
        <s v="CUST743"/>
        <s v="CUST744"/>
        <s v="CUST745"/>
        <s v="CUST746"/>
        <s v="CUST747"/>
        <s v="CUST748"/>
        <s v="CUST749"/>
        <s v="CUST750"/>
        <s v="CUST751"/>
        <s v="CUST752"/>
        <s v="CUST753"/>
        <s v="CUST754"/>
        <s v="CUST755"/>
        <s v="CUST756"/>
        <s v="CUST757"/>
        <s v="CUST758"/>
        <s v="CUST759"/>
        <s v="CUST760"/>
        <s v="CUST761"/>
        <s v="CUST762"/>
        <s v="CUST763"/>
        <s v="CUST764"/>
        <s v="CUST765"/>
        <s v="CUST766"/>
        <s v="CUST767"/>
        <s v="CUST768"/>
        <s v="CUST769"/>
        <s v="CUST770"/>
        <s v="CUST771"/>
        <s v="CUST772"/>
        <s v="CUST773"/>
        <s v="CUST774"/>
        <s v="CUST775"/>
        <s v="CUST776"/>
        <s v="CUST777"/>
        <s v="CUST778"/>
        <s v="CUST779"/>
        <s v="CUST780"/>
        <s v="CUST781"/>
        <s v="CUST782"/>
        <s v="CUST783"/>
        <s v="CUST784"/>
        <s v="CUST785"/>
        <s v="CUST786"/>
        <s v="CUST787"/>
        <s v="CUST788"/>
        <s v="CUST789"/>
        <s v="CUST790"/>
        <s v="CUST791"/>
        <s v="CUST792"/>
        <s v="CUST793"/>
        <s v="CUST794"/>
        <s v="CUST795"/>
        <s v="CUST796"/>
        <s v="CUST797"/>
        <s v="CUST798"/>
        <s v="CUST799"/>
        <s v="CUST800"/>
        <s v="CUST801"/>
        <s v="CUST802"/>
        <s v="CUST803"/>
        <s v="CUST804"/>
        <s v="CUST805"/>
        <s v="CUST806"/>
        <s v="CUST807"/>
        <s v="CUST808"/>
        <s v="CUST809"/>
        <s v="CUST810"/>
        <s v="CUST811"/>
        <s v="CUST812"/>
        <s v="CUST813"/>
        <s v="CUST814"/>
        <s v="CUST815"/>
        <s v="CUST816"/>
        <s v="CUST817"/>
        <s v="CUST818"/>
        <s v="CUST819"/>
        <s v="CUST820"/>
        <s v="CUST821"/>
        <s v="CUST822"/>
        <s v="CUST823"/>
        <s v="CUST824"/>
        <s v="CUST825"/>
        <s v="CUST826"/>
        <s v="CUST827"/>
        <s v="CUST828"/>
        <s v="CUST829"/>
        <s v="CUST830"/>
        <s v="CUST831"/>
        <s v="CUST832"/>
        <s v="CUST833"/>
        <s v="CUST834"/>
        <s v="CUST835"/>
        <s v="CUST836"/>
        <s v="CUST837"/>
        <s v="CUST838"/>
        <s v="CUST839"/>
        <s v="CUST840"/>
        <s v="CUST841"/>
        <s v="CUST842"/>
        <s v="CUST843"/>
        <s v="CUST844"/>
        <s v="CUST845"/>
        <s v="CUST846"/>
        <s v="CUST847"/>
        <s v="CUST848"/>
        <s v="CUST849"/>
        <s v="CUST850"/>
        <s v="CUST851"/>
        <s v="CUST852"/>
        <s v="CUST853"/>
        <s v="CUST854"/>
        <s v="CUST855"/>
        <s v="CUST856"/>
        <s v="CUST857"/>
        <s v="CUST858"/>
        <s v="CUST859"/>
        <s v="CUST860"/>
        <s v="CUST861"/>
        <s v="CUST862"/>
        <s v="CUST863"/>
        <s v="CUST864"/>
        <s v="CUST865"/>
        <s v="CUST866"/>
        <s v="CUST867"/>
        <s v="CUST868"/>
        <s v="CUST869"/>
        <s v="CUST870"/>
        <s v="CUST871"/>
        <s v="CUST872"/>
        <s v="CUST873"/>
        <s v="CUST874"/>
        <s v="CUST875"/>
        <s v="CUST876"/>
        <s v="CUST877"/>
        <s v="CUST878"/>
        <s v="CUST879"/>
        <s v="CUST880"/>
        <s v="CUST881"/>
        <s v="CUST882"/>
        <s v="CUST883"/>
        <s v="CUST884"/>
        <s v="CUST885"/>
        <s v="CUST886"/>
        <s v="CUST887"/>
        <s v="CUST888"/>
        <s v="CUST889"/>
        <s v="CUST890"/>
        <s v="CUST891"/>
        <s v="CUST892"/>
        <s v="CUST893"/>
        <s v="CUST894"/>
        <s v="CUST895"/>
        <s v="CUST896"/>
        <s v="CUST897"/>
        <s v="CUST898"/>
        <s v="CUST899"/>
        <s v="CUST900"/>
        <s v="CUST901"/>
        <s v="CUST902"/>
        <s v="CUST903"/>
        <s v="CUST904"/>
        <s v="CUST905"/>
        <s v="CUST906"/>
        <s v="CUST907"/>
        <s v="CUST908"/>
        <s v="CUST909"/>
        <s v="CUST910"/>
        <s v="CUST911"/>
        <s v="CUST912"/>
        <s v="CUST913"/>
        <s v="CUST914"/>
        <s v="CUST915"/>
        <s v="CUST916"/>
        <s v="CUST917"/>
        <s v="CUST918"/>
        <s v="CUST919"/>
        <s v="CUST920"/>
        <s v="CUST921"/>
        <s v="CUST922"/>
        <s v="CUST923"/>
        <s v="CUST924"/>
        <s v="CUST925"/>
        <s v="CUST926"/>
        <s v="CUST927"/>
        <s v="CUST928"/>
        <s v="CUST929"/>
        <s v="CUST930"/>
        <s v="CUST931"/>
        <s v="CUST932"/>
        <s v="CUST933"/>
        <s v="CUST934"/>
        <s v="CUST935"/>
        <s v="CUST936"/>
        <s v="CUST937"/>
        <s v="CUST938"/>
        <s v="CUST939"/>
        <s v="CUST940"/>
        <s v="CUST941"/>
        <s v="CUST942"/>
        <s v="CUST943"/>
        <s v="CUST944"/>
        <s v="CUST945"/>
        <s v="CUST946"/>
        <s v="CUST947"/>
        <s v="CUST948"/>
        <s v="CUST949"/>
        <s v="CUST950"/>
        <s v="CUST951"/>
        <s v="CUST952"/>
        <s v="CUST953"/>
        <s v="CUST954"/>
        <s v="CUST955"/>
        <s v="CUST956"/>
        <s v="CUST957"/>
        <s v="CUST958"/>
        <s v="CUST959"/>
        <s v="CUST960"/>
        <s v="CUST961"/>
        <s v="CUST962"/>
        <s v="CUST963"/>
        <s v="CUST964"/>
        <s v="CUST965"/>
        <s v="CUST966"/>
        <s v="CUST967"/>
        <s v="CUST968"/>
        <s v="CUST969"/>
        <s v="CUST970"/>
        <s v="CUST971"/>
        <s v="CUST972"/>
        <s v="CUST973"/>
        <s v="CUST974"/>
        <s v="CUST975"/>
        <s v="CUST976"/>
        <s v="CUST977"/>
        <s v="CUST978"/>
        <s v="CUST979"/>
        <s v="CUST980"/>
        <s v="CUST981"/>
        <s v="CUST982"/>
        <s v="CUST983"/>
        <s v="CUST984"/>
        <s v="CUST985"/>
        <s v="CUST986"/>
        <s v="CUST987"/>
        <s v="CUST988"/>
        <s v="CUST989"/>
        <s v="CUST990"/>
        <s v="CUST991"/>
        <s v="CUST992"/>
        <s v="CUST993"/>
        <s v="CUST994"/>
        <s v="CUST995"/>
        <s v="CUST996"/>
        <s v="CUST997"/>
        <s v="CUST998"/>
        <s v="CUST999"/>
        <s v="CUST1000"/>
      </sharedItems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 count="47">
        <n v="34"/>
        <n v="26"/>
        <n v="50"/>
        <n v="37"/>
        <n v="30"/>
        <n v="45"/>
        <n v="46"/>
        <n v="63"/>
        <n v="52"/>
        <n v="23"/>
        <n v="35"/>
        <n v="22"/>
        <n v="64"/>
        <n v="42"/>
        <n v="19"/>
        <n v="27"/>
        <n v="47"/>
        <n v="62"/>
        <n v="18"/>
        <n v="49"/>
        <n v="28"/>
        <n v="38"/>
        <n v="43"/>
        <n v="39"/>
        <n v="44"/>
        <n v="51"/>
        <n v="58"/>
        <n v="48"/>
        <n v="55"/>
        <n v="20"/>
        <n v="40"/>
        <n v="54"/>
        <n v="36"/>
        <n v="31"/>
        <n v="21"/>
        <n v="57"/>
        <n v="25"/>
        <n v="56"/>
        <n v="29"/>
        <n v="61"/>
        <n v="32"/>
        <n v="41"/>
        <n v="59"/>
        <n v="60"/>
        <n v="33"/>
        <n v="53"/>
        <n v="24"/>
      </sharedItems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Amount" numFmtId="0">
      <sharedItems containsSemiMixedTypes="0" containsString="0" containsNumber="1" containsInteger="1" minValue="25" maxValue="2000" count="18">
        <n v="150"/>
        <n v="1000"/>
        <n v="30"/>
        <n v="500"/>
        <n v="100"/>
        <n v="50"/>
        <n v="600"/>
        <n v="200"/>
        <n v="75"/>
        <n v="1500"/>
        <n v="120"/>
        <n v="2000"/>
        <n v="900"/>
        <n v="300"/>
        <n v="1200"/>
        <n v="90"/>
        <n v="25"/>
        <n v="60"/>
      </sharedItems>
    </cacheField>
    <cacheField name="AGE DISTRIBUTION" numFmtId="0">
      <sharedItems count="5">
        <s v="26-35"/>
        <s v="46-60"/>
        <s v="36-45"/>
        <b v="0"/>
        <s v="18-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n v="3"/>
    <n v="50"/>
    <x v="0"/>
  </r>
  <r>
    <x v="1"/>
    <x v="1"/>
    <x v="1"/>
    <x v="1"/>
    <x v="1"/>
    <x v="1"/>
    <n v="2"/>
    <n v="500"/>
    <x v="1"/>
  </r>
  <r>
    <x v="2"/>
    <x v="2"/>
    <x v="2"/>
    <x v="0"/>
    <x v="2"/>
    <x v="2"/>
    <n v="1"/>
    <n v="30"/>
    <x v="2"/>
  </r>
  <r>
    <x v="3"/>
    <x v="3"/>
    <x v="3"/>
    <x v="0"/>
    <x v="3"/>
    <x v="1"/>
    <n v="1"/>
    <n v="500"/>
    <x v="3"/>
  </r>
  <r>
    <x v="4"/>
    <x v="4"/>
    <x v="4"/>
    <x v="0"/>
    <x v="4"/>
    <x v="0"/>
    <n v="2"/>
    <n v="50"/>
    <x v="4"/>
  </r>
  <r>
    <x v="5"/>
    <x v="5"/>
    <x v="5"/>
    <x v="1"/>
    <x v="5"/>
    <x v="0"/>
    <n v="1"/>
    <n v="30"/>
    <x v="2"/>
  </r>
  <r>
    <x v="6"/>
    <x v="6"/>
    <x v="6"/>
    <x v="0"/>
    <x v="6"/>
    <x v="1"/>
    <n v="2"/>
    <n v="25"/>
    <x v="5"/>
  </r>
  <r>
    <x v="7"/>
    <x v="7"/>
    <x v="7"/>
    <x v="0"/>
    <x v="4"/>
    <x v="2"/>
    <n v="4"/>
    <n v="25"/>
    <x v="4"/>
  </r>
  <r>
    <x v="8"/>
    <x v="8"/>
    <x v="8"/>
    <x v="0"/>
    <x v="7"/>
    <x v="2"/>
    <n v="2"/>
    <n v="300"/>
    <x v="6"/>
  </r>
  <r>
    <x v="9"/>
    <x v="9"/>
    <x v="9"/>
    <x v="1"/>
    <x v="8"/>
    <x v="1"/>
    <n v="4"/>
    <n v="50"/>
    <x v="7"/>
  </r>
  <r>
    <x v="10"/>
    <x v="10"/>
    <x v="10"/>
    <x v="0"/>
    <x v="9"/>
    <x v="1"/>
    <n v="2"/>
    <n v="50"/>
    <x v="4"/>
  </r>
  <r>
    <x v="11"/>
    <x v="11"/>
    <x v="11"/>
    <x v="0"/>
    <x v="10"/>
    <x v="0"/>
    <n v="3"/>
    <n v="25"/>
    <x v="8"/>
  </r>
  <r>
    <x v="12"/>
    <x v="12"/>
    <x v="12"/>
    <x v="0"/>
    <x v="11"/>
    <x v="2"/>
    <n v="3"/>
    <n v="500"/>
    <x v="9"/>
  </r>
  <r>
    <x v="13"/>
    <x v="13"/>
    <x v="13"/>
    <x v="0"/>
    <x v="12"/>
    <x v="1"/>
    <n v="4"/>
    <n v="30"/>
    <x v="10"/>
  </r>
  <r>
    <x v="14"/>
    <x v="14"/>
    <x v="14"/>
    <x v="1"/>
    <x v="13"/>
    <x v="2"/>
    <n v="4"/>
    <n v="500"/>
    <x v="11"/>
  </r>
  <r>
    <x v="15"/>
    <x v="15"/>
    <x v="15"/>
    <x v="0"/>
    <x v="14"/>
    <x v="1"/>
    <n v="3"/>
    <n v="500"/>
    <x v="9"/>
  </r>
  <r>
    <x v="16"/>
    <x v="16"/>
    <x v="16"/>
    <x v="1"/>
    <x v="15"/>
    <x v="1"/>
    <n v="4"/>
    <n v="25"/>
    <x v="4"/>
  </r>
  <r>
    <x v="17"/>
    <x v="17"/>
    <x v="17"/>
    <x v="1"/>
    <x v="16"/>
    <x v="2"/>
    <n v="2"/>
    <n v="25"/>
    <x v="5"/>
  </r>
  <r>
    <x v="18"/>
    <x v="18"/>
    <x v="18"/>
    <x v="1"/>
    <x v="17"/>
    <x v="1"/>
    <n v="2"/>
    <n v="25"/>
    <x v="5"/>
  </r>
  <r>
    <x v="19"/>
    <x v="19"/>
    <x v="19"/>
    <x v="0"/>
    <x v="11"/>
    <x v="1"/>
    <n v="3"/>
    <n v="300"/>
    <x v="12"/>
  </r>
  <r>
    <x v="20"/>
    <x v="20"/>
    <x v="20"/>
    <x v="1"/>
    <x v="2"/>
    <x v="0"/>
    <n v="1"/>
    <n v="500"/>
    <x v="3"/>
  </r>
  <r>
    <x v="21"/>
    <x v="21"/>
    <x v="21"/>
    <x v="0"/>
    <x v="18"/>
    <x v="1"/>
    <n v="2"/>
    <n v="50"/>
    <x v="4"/>
  </r>
  <r>
    <x v="22"/>
    <x v="22"/>
    <x v="22"/>
    <x v="1"/>
    <x v="10"/>
    <x v="1"/>
    <n v="4"/>
    <n v="30"/>
    <x v="10"/>
  </r>
  <r>
    <x v="23"/>
    <x v="23"/>
    <x v="23"/>
    <x v="1"/>
    <x v="19"/>
    <x v="1"/>
    <n v="1"/>
    <n v="300"/>
    <x v="13"/>
  </r>
  <r>
    <x v="24"/>
    <x v="24"/>
    <x v="24"/>
    <x v="1"/>
    <x v="12"/>
    <x v="0"/>
    <n v="1"/>
    <n v="50"/>
    <x v="5"/>
  </r>
  <r>
    <x v="25"/>
    <x v="9"/>
    <x v="25"/>
    <x v="1"/>
    <x v="20"/>
    <x v="2"/>
    <n v="2"/>
    <n v="500"/>
    <x v="1"/>
  </r>
  <r>
    <x v="26"/>
    <x v="25"/>
    <x v="26"/>
    <x v="1"/>
    <x v="21"/>
    <x v="0"/>
    <n v="2"/>
    <n v="25"/>
    <x v="5"/>
  </r>
  <r>
    <x v="27"/>
    <x v="26"/>
    <x v="27"/>
    <x v="1"/>
    <x v="22"/>
    <x v="0"/>
    <n v="1"/>
    <n v="500"/>
    <x v="3"/>
  </r>
  <r>
    <x v="28"/>
    <x v="27"/>
    <x v="28"/>
    <x v="1"/>
    <x v="13"/>
    <x v="2"/>
    <n v="1"/>
    <n v="30"/>
    <x v="2"/>
  </r>
  <r>
    <x v="29"/>
    <x v="28"/>
    <x v="29"/>
    <x v="1"/>
    <x v="23"/>
    <x v="0"/>
    <n v="3"/>
    <n v="300"/>
    <x v="12"/>
  </r>
  <r>
    <x v="30"/>
    <x v="29"/>
    <x v="30"/>
    <x v="0"/>
    <x v="24"/>
    <x v="2"/>
    <n v="4"/>
    <n v="300"/>
    <x v="14"/>
  </r>
  <r>
    <x v="31"/>
    <x v="30"/>
    <x v="31"/>
    <x v="0"/>
    <x v="4"/>
    <x v="0"/>
    <n v="3"/>
    <n v="30"/>
    <x v="15"/>
  </r>
  <r>
    <x v="32"/>
    <x v="31"/>
    <x v="32"/>
    <x v="1"/>
    <x v="2"/>
    <x v="2"/>
    <n v="2"/>
    <n v="50"/>
    <x v="4"/>
  </r>
  <r>
    <x v="33"/>
    <x v="32"/>
    <x v="33"/>
    <x v="1"/>
    <x v="25"/>
    <x v="1"/>
    <n v="3"/>
    <n v="50"/>
    <x v="0"/>
  </r>
  <r>
    <x v="34"/>
    <x v="12"/>
    <x v="34"/>
    <x v="1"/>
    <x v="26"/>
    <x v="0"/>
    <n v="3"/>
    <n v="300"/>
    <x v="12"/>
  </r>
  <r>
    <x v="35"/>
    <x v="33"/>
    <x v="35"/>
    <x v="0"/>
    <x v="8"/>
    <x v="0"/>
    <n v="3"/>
    <n v="300"/>
    <x v="12"/>
  </r>
  <r>
    <x v="36"/>
    <x v="29"/>
    <x v="36"/>
    <x v="1"/>
    <x v="18"/>
    <x v="0"/>
    <n v="3"/>
    <n v="25"/>
    <x v="8"/>
  </r>
  <r>
    <x v="37"/>
    <x v="34"/>
    <x v="37"/>
    <x v="0"/>
    <x v="21"/>
    <x v="0"/>
    <n v="4"/>
    <n v="50"/>
    <x v="7"/>
  </r>
  <r>
    <x v="38"/>
    <x v="35"/>
    <x v="38"/>
    <x v="0"/>
    <x v="9"/>
    <x v="1"/>
    <n v="4"/>
    <n v="30"/>
    <x v="10"/>
  </r>
  <r>
    <x v="39"/>
    <x v="36"/>
    <x v="39"/>
    <x v="0"/>
    <x v="5"/>
    <x v="0"/>
    <n v="1"/>
    <n v="50"/>
    <x v="5"/>
  </r>
  <r>
    <x v="40"/>
    <x v="7"/>
    <x v="40"/>
    <x v="0"/>
    <x v="0"/>
    <x v="1"/>
    <n v="2"/>
    <n v="25"/>
    <x v="5"/>
  </r>
  <r>
    <x v="41"/>
    <x v="15"/>
    <x v="41"/>
    <x v="0"/>
    <x v="11"/>
    <x v="1"/>
    <n v="3"/>
    <n v="300"/>
    <x v="12"/>
  </r>
  <r>
    <x v="42"/>
    <x v="37"/>
    <x v="42"/>
    <x v="1"/>
    <x v="27"/>
    <x v="1"/>
    <n v="1"/>
    <n v="300"/>
    <x v="13"/>
  </r>
  <r>
    <x v="43"/>
    <x v="38"/>
    <x v="43"/>
    <x v="1"/>
    <x v="11"/>
    <x v="1"/>
    <n v="1"/>
    <n v="25"/>
    <x v="16"/>
  </r>
  <r>
    <x v="44"/>
    <x v="39"/>
    <x v="44"/>
    <x v="1"/>
    <x v="28"/>
    <x v="2"/>
    <n v="1"/>
    <n v="30"/>
    <x v="2"/>
  </r>
  <r>
    <x v="45"/>
    <x v="40"/>
    <x v="45"/>
    <x v="1"/>
    <x v="29"/>
    <x v="2"/>
    <n v="4"/>
    <n v="300"/>
    <x v="14"/>
  </r>
  <r>
    <x v="46"/>
    <x v="41"/>
    <x v="46"/>
    <x v="1"/>
    <x v="30"/>
    <x v="0"/>
    <n v="3"/>
    <n v="500"/>
    <x v="9"/>
  </r>
  <r>
    <x v="47"/>
    <x v="42"/>
    <x v="47"/>
    <x v="0"/>
    <x v="31"/>
    <x v="2"/>
    <n v="3"/>
    <n v="300"/>
    <x v="12"/>
  </r>
  <r>
    <x v="48"/>
    <x v="43"/>
    <x v="48"/>
    <x v="1"/>
    <x v="31"/>
    <x v="2"/>
    <n v="2"/>
    <n v="500"/>
    <x v="1"/>
  </r>
  <r>
    <x v="49"/>
    <x v="44"/>
    <x v="49"/>
    <x v="1"/>
    <x v="15"/>
    <x v="0"/>
    <n v="3"/>
    <n v="25"/>
    <x v="8"/>
  </r>
  <r>
    <x v="50"/>
    <x v="45"/>
    <x v="50"/>
    <x v="0"/>
    <x v="15"/>
    <x v="0"/>
    <n v="3"/>
    <n v="25"/>
    <x v="8"/>
  </r>
  <r>
    <x v="51"/>
    <x v="46"/>
    <x v="51"/>
    <x v="1"/>
    <x v="32"/>
    <x v="0"/>
    <n v="1"/>
    <n v="300"/>
    <x v="13"/>
  </r>
  <r>
    <x v="52"/>
    <x v="47"/>
    <x v="52"/>
    <x v="0"/>
    <x v="0"/>
    <x v="2"/>
    <n v="2"/>
    <n v="50"/>
    <x v="4"/>
  </r>
  <r>
    <x v="53"/>
    <x v="48"/>
    <x v="53"/>
    <x v="1"/>
    <x v="21"/>
    <x v="2"/>
    <n v="3"/>
    <n v="500"/>
    <x v="9"/>
  </r>
  <r>
    <x v="54"/>
    <x v="49"/>
    <x v="54"/>
    <x v="0"/>
    <x v="33"/>
    <x v="0"/>
    <n v="4"/>
    <n v="30"/>
    <x v="10"/>
  </r>
  <r>
    <x v="55"/>
    <x v="50"/>
    <x v="55"/>
    <x v="1"/>
    <x v="1"/>
    <x v="1"/>
    <n v="3"/>
    <n v="300"/>
    <x v="12"/>
  </r>
  <r>
    <x v="56"/>
    <x v="51"/>
    <x v="56"/>
    <x v="1"/>
    <x v="7"/>
    <x v="0"/>
    <n v="1"/>
    <n v="30"/>
    <x v="2"/>
  </r>
  <r>
    <x v="57"/>
    <x v="52"/>
    <x v="57"/>
    <x v="0"/>
    <x v="18"/>
    <x v="1"/>
    <n v="4"/>
    <n v="300"/>
    <x v="14"/>
  </r>
  <r>
    <x v="58"/>
    <x v="53"/>
    <x v="58"/>
    <x v="0"/>
    <x v="17"/>
    <x v="1"/>
    <n v="1"/>
    <n v="50"/>
    <x v="5"/>
  </r>
  <r>
    <x v="59"/>
    <x v="54"/>
    <x v="59"/>
    <x v="0"/>
    <x v="4"/>
    <x v="0"/>
    <n v="3"/>
    <n v="50"/>
    <x v="0"/>
  </r>
  <r>
    <x v="60"/>
    <x v="55"/>
    <x v="60"/>
    <x v="0"/>
    <x v="34"/>
    <x v="0"/>
    <n v="4"/>
    <n v="50"/>
    <x v="7"/>
  </r>
  <r>
    <x v="61"/>
    <x v="56"/>
    <x v="61"/>
    <x v="0"/>
    <x v="18"/>
    <x v="0"/>
    <n v="2"/>
    <n v="50"/>
    <x v="4"/>
  </r>
  <r>
    <x v="62"/>
    <x v="57"/>
    <x v="62"/>
    <x v="0"/>
    <x v="35"/>
    <x v="2"/>
    <n v="2"/>
    <n v="25"/>
    <x v="5"/>
  </r>
  <r>
    <x v="63"/>
    <x v="58"/>
    <x v="63"/>
    <x v="0"/>
    <x v="19"/>
    <x v="1"/>
    <n v="4"/>
    <n v="25"/>
    <x v="4"/>
  </r>
  <r>
    <x v="64"/>
    <x v="59"/>
    <x v="64"/>
    <x v="0"/>
    <x v="25"/>
    <x v="2"/>
    <n v="4"/>
    <n v="500"/>
    <x v="11"/>
  </r>
  <r>
    <x v="65"/>
    <x v="60"/>
    <x v="65"/>
    <x v="1"/>
    <x v="5"/>
    <x v="2"/>
    <n v="1"/>
    <n v="30"/>
    <x v="2"/>
  </r>
  <r>
    <x v="66"/>
    <x v="61"/>
    <x v="66"/>
    <x v="1"/>
    <x v="27"/>
    <x v="0"/>
    <n v="4"/>
    <n v="300"/>
    <x v="14"/>
  </r>
  <r>
    <x v="67"/>
    <x v="48"/>
    <x v="67"/>
    <x v="0"/>
    <x v="36"/>
    <x v="2"/>
    <n v="1"/>
    <n v="300"/>
    <x v="13"/>
  </r>
  <r>
    <x v="68"/>
    <x v="17"/>
    <x v="68"/>
    <x v="1"/>
    <x v="37"/>
    <x v="0"/>
    <n v="3"/>
    <n v="25"/>
    <x v="8"/>
  </r>
  <r>
    <x v="69"/>
    <x v="62"/>
    <x v="69"/>
    <x v="1"/>
    <x v="22"/>
    <x v="1"/>
    <n v="1"/>
    <n v="300"/>
    <x v="13"/>
  </r>
  <r>
    <x v="70"/>
    <x v="37"/>
    <x v="70"/>
    <x v="1"/>
    <x v="25"/>
    <x v="0"/>
    <n v="4"/>
    <n v="25"/>
    <x v="4"/>
  </r>
  <r>
    <x v="71"/>
    <x v="29"/>
    <x v="71"/>
    <x v="1"/>
    <x v="29"/>
    <x v="2"/>
    <n v="4"/>
    <n v="500"/>
    <x v="11"/>
  </r>
  <r>
    <x v="72"/>
    <x v="63"/>
    <x v="72"/>
    <x v="0"/>
    <x v="38"/>
    <x v="2"/>
    <n v="3"/>
    <n v="30"/>
    <x v="15"/>
  </r>
  <r>
    <x v="73"/>
    <x v="64"/>
    <x v="73"/>
    <x v="1"/>
    <x v="18"/>
    <x v="0"/>
    <n v="4"/>
    <n v="500"/>
    <x v="11"/>
  </r>
  <r>
    <x v="74"/>
    <x v="65"/>
    <x v="74"/>
    <x v="0"/>
    <x v="39"/>
    <x v="0"/>
    <n v="4"/>
    <n v="50"/>
    <x v="7"/>
  </r>
  <r>
    <x v="75"/>
    <x v="66"/>
    <x v="75"/>
    <x v="1"/>
    <x v="11"/>
    <x v="2"/>
    <n v="2"/>
    <n v="50"/>
    <x v="4"/>
  </r>
  <r>
    <x v="76"/>
    <x v="67"/>
    <x v="76"/>
    <x v="1"/>
    <x v="16"/>
    <x v="1"/>
    <n v="2"/>
    <n v="50"/>
    <x v="4"/>
  </r>
  <r>
    <x v="77"/>
    <x v="68"/>
    <x v="77"/>
    <x v="1"/>
    <x v="16"/>
    <x v="1"/>
    <n v="3"/>
    <n v="500"/>
    <x v="9"/>
  </r>
  <r>
    <x v="78"/>
    <x v="69"/>
    <x v="78"/>
    <x v="0"/>
    <x v="0"/>
    <x v="0"/>
    <n v="1"/>
    <n v="300"/>
    <x v="13"/>
  </r>
  <r>
    <x v="79"/>
    <x v="70"/>
    <x v="79"/>
    <x v="1"/>
    <x v="12"/>
    <x v="1"/>
    <n v="2"/>
    <n v="30"/>
    <x v="17"/>
  </r>
  <r>
    <x v="80"/>
    <x v="71"/>
    <x v="80"/>
    <x v="0"/>
    <x v="30"/>
    <x v="2"/>
    <n v="1"/>
    <n v="50"/>
    <x v="5"/>
  </r>
  <r>
    <x v="81"/>
    <x v="24"/>
    <x v="81"/>
    <x v="1"/>
    <x v="40"/>
    <x v="0"/>
    <n v="4"/>
    <n v="50"/>
    <x v="7"/>
  </r>
  <r>
    <x v="82"/>
    <x v="72"/>
    <x v="82"/>
    <x v="0"/>
    <x v="31"/>
    <x v="2"/>
    <n v="2"/>
    <n v="50"/>
    <x v="4"/>
  </r>
  <r>
    <x v="83"/>
    <x v="73"/>
    <x v="83"/>
    <x v="1"/>
    <x v="21"/>
    <x v="2"/>
    <n v="3"/>
    <n v="30"/>
    <x v="15"/>
  </r>
  <r>
    <x v="84"/>
    <x v="74"/>
    <x v="84"/>
    <x v="0"/>
    <x v="33"/>
    <x v="1"/>
    <n v="3"/>
    <n v="50"/>
    <x v="0"/>
  </r>
  <r>
    <x v="85"/>
    <x v="75"/>
    <x v="85"/>
    <x v="0"/>
    <x v="14"/>
    <x v="0"/>
    <n v="3"/>
    <n v="30"/>
    <x v="15"/>
  </r>
  <r>
    <x v="86"/>
    <x v="64"/>
    <x v="86"/>
    <x v="1"/>
    <x v="20"/>
    <x v="0"/>
    <n v="2"/>
    <n v="50"/>
    <x v="4"/>
  </r>
  <r>
    <x v="87"/>
    <x v="76"/>
    <x v="87"/>
    <x v="0"/>
    <x v="37"/>
    <x v="1"/>
    <n v="1"/>
    <n v="500"/>
    <x v="3"/>
  </r>
  <r>
    <x v="88"/>
    <x v="77"/>
    <x v="88"/>
    <x v="1"/>
    <x v="28"/>
    <x v="2"/>
    <n v="4"/>
    <n v="500"/>
    <x v="11"/>
  </r>
  <r>
    <x v="89"/>
    <x v="4"/>
    <x v="89"/>
    <x v="1"/>
    <x v="25"/>
    <x v="2"/>
    <n v="1"/>
    <n v="30"/>
    <x v="2"/>
  </r>
  <r>
    <x v="90"/>
    <x v="66"/>
    <x v="90"/>
    <x v="1"/>
    <x v="28"/>
    <x v="2"/>
    <n v="1"/>
    <n v="500"/>
    <x v="3"/>
  </r>
  <r>
    <x v="91"/>
    <x v="78"/>
    <x v="91"/>
    <x v="1"/>
    <x v="25"/>
    <x v="2"/>
    <n v="4"/>
    <n v="30"/>
    <x v="10"/>
  </r>
  <r>
    <x v="92"/>
    <x v="37"/>
    <x v="92"/>
    <x v="1"/>
    <x v="10"/>
    <x v="0"/>
    <n v="4"/>
    <n v="500"/>
    <x v="11"/>
  </r>
  <r>
    <x v="93"/>
    <x v="79"/>
    <x v="93"/>
    <x v="1"/>
    <x v="16"/>
    <x v="0"/>
    <n v="2"/>
    <n v="500"/>
    <x v="1"/>
  </r>
  <r>
    <x v="94"/>
    <x v="0"/>
    <x v="94"/>
    <x v="1"/>
    <x v="40"/>
    <x v="1"/>
    <n v="2"/>
    <n v="30"/>
    <x v="17"/>
  </r>
  <r>
    <x v="95"/>
    <x v="80"/>
    <x v="95"/>
    <x v="1"/>
    <x v="24"/>
    <x v="1"/>
    <n v="2"/>
    <n v="300"/>
    <x v="6"/>
  </r>
  <r>
    <x v="96"/>
    <x v="81"/>
    <x v="96"/>
    <x v="1"/>
    <x v="25"/>
    <x v="0"/>
    <n v="2"/>
    <n v="500"/>
    <x v="1"/>
  </r>
  <r>
    <x v="97"/>
    <x v="26"/>
    <x v="97"/>
    <x v="1"/>
    <x v="28"/>
    <x v="0"/>
    <n v="2"/>
    <n v="50"/>
    <x v="4"/>
  </r>
  <r>
    <x v="98"/>
    <x v="82"/>
    <x v="98"/>
    <x v="1"/>
    <x v="2"/>
    <x v="2"/>
    <n v="4"/>
    <n v="300"/>
    <x v="14"/>
  </r>
  <r>
    <x v="99"/>
    <x v="83"/>
    <x v="99"/>
    <x v="0"/>
    <x v="41"/>
    <x v="2"/>
    <n v="1"/>
    <n v="30"/>
    <x v="2"/>
  </r>
  <r>
    <x v="100"/>
    <x v="84"/>
    <x v="100"/>
    <x v="0"/>
    <x v="40"/>
    <x v="1"/>
    <n v="2"/>
    <n v="300"/>
    <x v="6"/>
  </r>
  <r>
    <x v="101"/>
    <x v="85"/>
    <x v="101"/>
    <x v="1"/>
    <x v="16"/>
    <x v="0"/>
    <n v="2"/>
    <n v="25"/>
    <x v="5"/>
  </r>
  <r>
    <x v="102"/>
    <x v="13"/>
    <x v="102"/>
    <x v="1"/>
    <x v="42"/>
    <x v="1"/>
    <n v="1"/>
    <n v="25"/>
    <x v="16"/>
  </r>
  <r>
    <x v="103"/>
    <x v="86"/>
    <x v="103"/>
    <x v="1"/>
    <x v="0"/>
    <x v="0"/>
    <n v="2"/>
    <n v="500"/>
    <x v="1"/>
  </r>
  <r>
    <x v="104"/>
    <x v="87"/>
    <x v="104"/>
    <x v="1"/>
    <x v="11"/>
    <x v="2"/>
    <n v="1"/>
    <n v="500"/>
    <x v="3"/>
  </r>
  <r>
    <x v="105"/>
    <x v="88"/>
    <x v="105"/>
    <x v="1"/>
    <x v="6"/>
    <x v="1"/>
    <n v="1"/>
    <n v="50"/>
    <x v="5"/>
  </r>
  <r>
    <x v="106"/>
    <x v="89"/>
    <x v="106"/>
    <x v="1"/>
    <x v="34"/>
    <x v="1"/>
    <n v="4"/>
    <n v="300"/>
    <x v="14"/>
  </r>
  <r>
    <x v="107"/>
    <x v="90"/>
    <x v="107"/>
    <x v="1"/>
    <x v="15"/>
    <x v="0"/>
    <n v="3"/>
    <n v="25"/>
    <x v="8"/>
  </r>
  <r>
    <x v="108"/>
    <x v="91"/>
    <x v="108"/>
    <x v="1"/>
    <x v="0"/>
    <x v="2"/>
    <n v="4"/>
    <n v="500"/>
    <x v="11"/>
  </r>
  <r>
    <x v="109"/>
    <x v="86"/>
    <x v="109"/>
    <x v="0"/>
    <x v="15"/>
    <x v="1"/>
    <n v="3"/>
    <n v="300"/>
    <x v="12"/>
  </r>
  <r>
    <x v="110"/>
    <x v="90"/>
    <x v="110"/>
    <x v="1"/>
    <x v="0"/>
    <x v="2"/>
    <n v="3"/>
    <n v="500"/>
    <x v="9"/>
  </r>
  <r>
    <x v="111"/>
    <x v="92"/>
    <x v="111"/>
    <x v="0"/>
    <x v="3"/>
    <x v="1"/>
    <n v="3"/>
    <n v="500"/>
    <x v="9"/>
  </r>
  <r>
    <x v="112"/>
    <x v="93"/>
    <x v="112"/>
    <x v="1"/>
    <x v="41"/>
    <x v="2"/>
    <n v="2"/>
    <n v="25"/>
    <x v="5"/>
  </r>
  <r>
    <x v="113"/>
    <x v="94"/>
    <x v="113"/>
    <x v="1"/>
    <x v="11"/>
    <x v="0"/>
    <n v="4"/>
    <n v="25"/>
    <x v="4"/>
  </r>
  <r>
    <x v="114"/>
    <x v="95"/>
    <x v="114"/>
    <x v="0"/>
    <x v="25"/>
    <x v="1"/>
    <n v="3"/>
    <n v="500"/>
    <x v="9"/>
  </r>
  <r>
    <x v="115"/>
    <x v="96"/>
    <x v="115"/>
    <x v="1"/>
    <x v="9"/>
    <x v="1"/>
    <n v="1"/>
    <n v="30"/>
    <x v="2"/>
  </r>
  <r>
    <x v="116"/>
    <x v="97"/>
    <x v="116"/>
    <x v="0"/>
    <x v="14"/>
    <x v="2"/>
    <n v="2"/>
    <n v="500"/>
    <x v="1"/>
  </r>
  <r>
    <x v="117"/>
    <x v="42"/>
    <x v="117"/>
    <x v="1"/>
    <x v="4"/>
    <x v="2"/>
    <n v="4"/>
    <n v="500"/>
    <x v="11"/>
  </r>
  <r>
    <x v="118"/>
    <x v="6"/>
    <x v="118"/>
    <x v="1"/>
    <x v="43"/>
    <x v="1"/>
    <n v="3"/>
    <n v="50"/>
    <x v="0"/>
  </r>
  <r>
    <x v="119"/>
    <x v="98"/>
    <x v="119"/>
    <x v="0"/>
    <x v="43"/>
    <x v="0"/>
    <n v="1"/>
    <n v="50"/>
    <x v="5"/>
  </r>
  <r>
    <x v="120"/>
    <x v="21"/>
    <x v="120"/>
    <x v="1"/>
    <x v="20"/>
    <x v="2"/>
    <n v="4"/>
    <n v="50"/>
    <x v="7"/>
  </r>
  <r>
    <x v="121"/>
    <x v="99"/>
    <x v="121"/>
    <x v="0"/>
    <x v="12"/>
    <x v="2"/>
    <n v="4"/>
    <n v="30"/>
    <x v="10"/>
  </r>
  <r>
    <x v="122"/>
    <x v="100"/>
    <x v="122"/>
    <x v="1"/>
    <x v="30"/>
    <x v="2"/>
    <n v="2"/>
    <n v="30"/>
    <x v="17"/>
  </r>
  <r>
    <x v="123"/>
    <x v="101"/>
    <x v="123"/>
    <x v="0"/>
    <x v="44"/>
    <x v="1"/>
    <n v="4"/>
    <n v="500"/>
    <x v="11"/>
  </r>
  <r>
    <x v="124"/>
    <x v="102"/>
    <x v="124"/>
    <x v="0"/>
    <x v="27"/>
    <x v="1"/>
    <n v="2"/>
    <n v="50"/>
    <x v="4"/>
  </r>
  <r>
    <x v="125"/>
    <x v="103"/>
    <x v="125"/>
    <x v="1"/>
    <x v="20"/>
    <x v="1"/>
    <n v="3"/>
    <n v="30"/>
    <x v="15"/>
  </r>
  <r>
    <x v="126"/>
    <x v="104"/>
    <x v="126"/>
    <x v="1"/>
    <x v="44"/>
    <x v="1"/>
    <n v="2"/>
    <n v="25"/>
    <x v="5"/>
  </r>
  <r>
    <x v="127"/>
    <x v="53"/>
    <x v="127"/>
    <x v="0"/>
    <x v="36"/>
    <x v="0"/>
    <n v="1"/>
    <n v="500"/>
    <x v="3"/>
  </r>
  <r>
    <x v="128"/>
    <x v="26"/>
    <x v="128"/>
    <x v="1"/>
    <x v="34"/>
    <x v="0"/>
    <n v="2"/>
    <n v="300"/>
    <x v="6"/>
  </r>
  <r>
    <x v="129"/>
    <x v="105"/>
    <x v="129"/>
    <x v="1"/>
    <x v="35"/>
    <x v="1"/>
    <n v="1"/>
    <n v="500"/>
    <x v="3"/>
  </r>
  <r>
    <x v="130"/>
    <x v="106"/>
    <x v="130"/>
    <x v="1"/>
    <x v="34"/>
    <x v="0"/>
    <n v="2"/>
    <n v="300"/>
    <x v="6"/>
  </r>
  <r>
    <x v="131"/>
    <x v="107"/>
    <x v="131"/>
    <x v="0"/>
    <x v="13"/>
    <x v="2"/>
    <n v="4"/>
    <n v="50"/>
    <x v="7"/>
  </r>
  <r>
    <x v="132"/>
    <x v="108"/>
    <x v="132"/>
    <x v="0"/>
    <x v="29"/>
    <x v="2"/>
    <n v="3"/>
    <n v="300"/>
    <x v="12"/>
  </r>
  <r>
    <x v="133"/>
    <x v="109"/>
    <x v="133"/>
    <x v="0"/>
    <x v="19"/>
    <x v="2"/>
    <n v="1"/>
    <n v="50"/>
    <x v="5"/>
  </r>
  <r>
    <x v="134"/>
    <x v="110"/>
    <x v="134"/>
    <x v="0"/>
    <x v="29"/>
    <x v="1"/>
    <n v="2"/>
    <n v="25"/>
    <x v="5"/>
  </r>
  <r>
    <x v="135"/>
    <x v="111"/>
    <x v="135"/>
    <x v="0"/>
    <x v="24"/>
    <x v="2"/>
    <n v="2"/>
    <n v="300"/>
    <x v="6"/>
  </r>
  <r>
    <x v="136"/>
    <x v="51"/>
    <x v="136"/>
    <x v="0"/>
    <x v="6"/>
    <x v="0"/>
    <n v="2"/>
    <n v="500"/>
    <x v="1"/>
  </r>
  <r>
    <x v="137"/>
    <x v="31"/>
    <x v="137"/>
    <x v="0"/>
    <x v="19"/>
    <x v="1"/>
    <n v="4"/>
    <n v="50"/>
    <x v="7"/>
  </r>
  <r>
    <x v="138"/>
    <x v="112"/>
    <x v="138"/>
    <x v="0"/>
    <x v="32"/>
    <x v="0"/>
    <n v="4"/>
    <n v="500"/>
    <x v="11"/>
  </r>
  <r>
    <x v="139"/>
    <x v="12"/>
    <x v="139"/>
    <x v="0"/>
    <x v="21"/>
    <x v="2"/>
    <n v="1"/>
    <n v="30"/>
    <x v="2"/>
  </r>
  <r>
    <x v="140"/>
    <x v="113"/>
    <x v="140"/>
    <x v="1"/>
    <x v="11"/>
    <x v="2"/>
    <n v="1"/>
    <n v="50"/>
    <x v="5"/>
  </r>
  <r>
    <x v="141"/>
    <x v="114"/>
    <x v="141"/>
    <x v="0"/>
    <x v="10"/>
    <x v="2"/>
    <n v="4"/>
    <n v="300"/>
    <x v="14"/>
  </r>
  <r>
    <x v="142"/>
    <x v="115"/>
    <x v="142"/>
    <x v="1"/>
    <x v="5"/>
    <x v="1"/>
    <n v="1"/>
    <n v="50"/>
    <x v="5"/>
  </r>
  <r>
    <x v="143"/>
    <x v="116"/>
    <x v="143"/>
    <x v="1"/>
    <x v="42"/>
    <x v="0"/>
    <n v="3"/>
    <n v="500"/>
    <x v="9"/>
  </r>
  <r>
    <x v="144"/>
    <x v="113"/>
    <x v="144"/>
    <x v="1"/>
    <x v="23"/>
    <x v="1"/>
    <n v="3"/>
    <n v="25"/>
    <x v="8"/>
  </r>
  <r>
    <x v="145"/>
    <x v="117"/>
    <x v="145"/>
    <x v="0"/>
    <x v="21"/>
    <x v="1"/>
    <n v="4"/>
    <n v="50"/>
    <x v="7"/>
  </r>
  <r>
    <x v="146"/>
    <x v="118"/>
    <x v="146"/>
    <x v="0"/>
    <x v="9"/>
    <x v="2"/>
    <n v="1"/>
    <n v="300"/>
    <x v="13"/>
  </r>
  <r>
    <x v="147"/>
    <x v="119"/>
    <x v="147"/>
    <x v="0"/>
    <x v="18"/>
    <x v="1"/>
    <n v="2"/>
    <n v="30"/>
    <x v="17"/>
  </r>
  <r>
    <x v="148"/>
    <x v="120"/>
    <x v="148"/>
    <x v="0"/>
    <x v="11"/>
    <x v="1"/>
    <n v="3"/>
    <n v="25"/>
    <x v="8"/>
  </r>
  <r>
    <x v="149"/>
    <x v="121"/>
    <x v="149"/>
    <x v="1"/>
    <x v="26"/>
    <x v="2"/>
    <n v="4"/>
    <n v="30"/>
    <x v="10"/>
  </r>
  <r>
    <x v="150"/>
    <x v="112"/>
    <x v="150"/>
    <x v="0"/>
    <x v="38"/>
    <x v="1"/>
    <n v="1"/>
    <n v="50"/>
    <x v="5"/>
  </r>
  <r>
    <x v="151"/>
    <x v="122"/>
    <x v="151"/>
    <x v="0"/>
    <x v="22"/>
    <x v="2"/>
    <n v="4"/>
    <n v="500"/>
    <x v="11"/>
  </r>
  <r>
    <x v="152"/>
    <x v="72"/>
    <x v="152"/>
    <x v="0"/>
    <x v="7"/>
    <x v="2"/>
    <n v="2"/>
    <n v="500"/>
    <x v="1"/>
  </r>
  <r>
    <x v="153"/>
    <x v="45"/>
    <x v="153"/>
    <x v="0"/>
    <x v="25"/>
    <x v="2"/>
    <n v="3"/>
    <n v="300"/>
    <x v="12"/>
  </r>
  <r>
    <x v="154"/>
    <x v="71"/>
    <x v="154"/>
    <x v="0"/>
    <x v="33"/>
    <x v="2"/>
    <n v="4"/>
    <n v="500"/>
    <x v="11"/>
  </r>
  <r>
    <x v="155"/>
    <x v="123"/>
    <x v="155"/>
    <x v="1"/>
    <x v="22"/>
    <x v="1"/>
    <n v="4"/>
    <n v="25"/>
    <x v="4"/>
  </r>
  <r>
    <x v="156"/>
    <x v="33"/>
    <x v="156"/>
    <x v="0"/>
    <x v="17"/>
    <x v="2"/>
    <n v="4"/>
    <n v="500"/>
    <x v="11"/>
  </r>
  <r>
    <x v="157"/>
    <x v="1"/>
    <x v="157"/>
    <x v="1"/>
    <x v="24"/>
    <x v="2"/>
    <n v="2"/>
    <n v="300"/>
    <x v="6"/>
  </r>
  <r>
    <x v="158"/>
    <x v="50"/>
    <x v="158"/>
    <x v="0"/>
    <x v="1"/>
    <x v="1"/>
    <n v="4"/>
    <n v="50"/>
    <x v="7"/>
  </r>
  <r>
    <x v="159"/>
    <x v="124"/>
    <x v="159"/>
    <x v="1"/>
    <x v="22"/>
    <x v="1"/>
    <n v="2"/>
    <n v="50"/>
    <x v="4"/>
  </r>
  <r>
    <x v="160"/>
    <x v="125"/>
    <x v="160"/>
    <x v="0"/>
    <x v="12"/>
    <x v="0"/>
    <n v="2"/>
    <n v="500"/>
    <x v="1"/>
  </r>
  <r>
    <x v="161"/>
    <x v="63"/>
    <x v="161"/>
    <x v="0"/>
    <x v="23"/>
    <x v="1"/>
    <n v="2"/>
    <n v="30"/>
    <x v="17"/>
  </r>
  <r>
    <x v="162"/>
    <x v="126"/>
    <x v="162"/>
    <x v="1"/>
    <x v="12"/>
    <x v="1"/>
    <n v="3"/>
    <n v="50"/>
    <x v="0"/>
  </r>
  <r>
    <x v="163"/>
    <x v="100"/>
    <x v="163"/>
    <x v="1"/>
    <x v="16"/>
    <x v="0"/>
    <n v="3"/>
    <n v="500"/>
    <x v="9"/>
  </r>
  <r>
    <x v="164"/>
    <x v="127"/>
    <x v="164"/>
    <x v="1"/>
    <x v="43"/>
    <x v="1"/>
    <n v="4"/>
    <n v="300"/>
    <x v="14"/>
  </r>
  <r>
    <x v="165"/>
    <x v="128"/>
    <x v="165"/>
    <x v="0"/>
    <x v="0"/>
    <x v="1"/>
    <n v="4"/>
    <n v="500"/>
    <x v="11"/>
  </r>
  <r>
    <x v="166"/>
    <x v="129"/>
    <x v="166"/>
    <x v="1"/>
    <x v="22"/>
    <x v="1"/>
    <n v="3"/>
    <n v="50"/>
    <x v="0"/>
  </r>
  <r>
    <x v="167"/>
    <x v="130"/>
    <x v="167"/>
    <x v="0"/>
    <x v="45"/>
    <x v="1"/>
    <n v="1"/>
    <n v="300"/>
    <x v="13"/>
  </r>
  <r>
    <x v="168"/>
    <x v="131"/>
    <x v="168"/>
    <x v="0"/>
    <x v="18"/>
    <x v="0"/>
    <n v="3"/>
    <n v="500"/>
    <x v="9"/>
  </r>
  <r>
    <x v="169"/>
    <x v="132"/>
    <x v="169"/>
    <x v="1"/>
    <x v="36"/>
    <x v="1"/>
    <n v="2"/>
    <n v="25"/>
    <x v="5"/>
  </r>
  <r>
    <x v="170"/>
    <x v="0"/>
    <x v="170"/>
    <x v="1"/>
    <x v="8"/>
    <x v="1"/>
    <n v="3"/>
    <n v="300"/>
    <x v="12"/>
  </r>
  <r>
    <x v="171"/>
    <x v="129"/>
    <x v="171"/>
    <x v="0"/>
    <x v="40"/>
    <x v="0"/>
    <n v="2"/>
    <n v="25"/>
    <x v="5"/>
  </r>
  <r>
    <x v="172"/>
    <x v="75"/>
    <x v="172"/>
    <x v="0"/>
    <x v="12"/>
    <x v="2"/>
    <n v="4"/>
    <n v="30"/>
    <x v="10"/>
  </r>
  <r>
    <x v="173"/>
    <x v="22"/>
    <x v="173"/>
    <x v="1"/>
    <x v="23"/>
    <x v="0"/>
    <n v="1"/>
    <n v="300"/>
    <x v="13"/>
  </r>
  <r>
    <x v="174"/>
    <x v="111"/>
    <x v="174"/>
    <x v="1"/>
    <x v="33"/>
    <x v="2"/>
    <n v="4"/>
    <n v="25"/>
    <x v="4"/>
  </r>
  <r>
    <x v="175"/>
    <x v="133"/>
    <x v="175"/>
    <x v="1"/>
    <x v="22"/>
    <x v="0"/>
    <n v="2"/>
    <n v="50"/>
    <x v="4"/>
  </r>
  <r>
    <x v="176"/>
    <x v="134"/>
    <x v="176"/>
    <x v="0"/>
    <x v="5"/>
    <x v="0"/>
    <n v="2"/>
    <n v="50"/>
    <x v="4"/>
  </r>
  <r>
    <x v="177"/>
    <x v="135"/>
    <x v="177"/>
    <x v="0"/>
    <x v="30"/>
    <x v="1"/>
    <n v="2"/>
    <n v="30"/>
    <x v="17"/>
  </r>
  <r>
    <x v="178"/>
    <x v="136"/>
    <x v="178"/>
    <x v="0"/>
    <x v="33"/>
    <x v="2"/>
    <n v="1"/>
    <n v="300"/>
    <x v="13"/>
  </r>
  <r>
    <x v="179"/>
    <x v="137"/>
    <x v="179"/>
    <x v="0"/>
    <x v="41"/>
    <x v="1"/>
    <n v="3"/>
    <n v="300"/>
    <x v="12"/>
  </r>
  <r>
    <x v="180"/>
    <x v="138"/>
    <x v="180"/>
    <x v="0"/>
    <x v="14"/>
    <x v="2"/>
    <n v="4"/>
    <n v="300"/>
    <x v="14"/>
  </r>
  <r>
    <x v="181"/>
    <x v="139"/>
    <x v="181"/>
    <x v="0"/>
    <x v="17"/>
    <x v="0"/>
    <n v="4"/>
    <n v="30"/>
    <x v="10"/>
  </r>
  <r>
    <x v="182"/>
    <x v="140"/>
    <x v="182"/>
    <x v="1"/>
    <x v="22"/>
    <x v="0"/>
    <n v="3"/>
    <n v="300"/>
    <x v="12"/>
  </r>
  <r>
    <x v="183"/>
    <x v="141"/>
    <x v="183"/>
    <x v="0"/>
    <x v="33"/>
    <x v="2"/>
    <n v="4"/>
    <n v="50"/>
    <x v="7"/>
  </r>
  <r>
    <x v="184"/>
    <x v="1"/>
    <x v="184"/>
    <x v="0"/>
    <x v="46"/>
    <x v="1"/>
    <n v="1"/>
    <n v="25"/>
    <x v="16"/>
  </r>
  <r>
    <x v="185"/>
    <x v="53"/>
    <x v="185"/>
    <x v="0"/>
    <x v="29"/>
    <x v="1"/>
    <n v="4"/>
    <n v="50"/>
    <x v="7"/>
  </r>
  <r>
    <x v="186"/>
    <x v="142"/>
    <x v="186"/>
    <x v="1"/>
    <x v="12"/>
    <x v="1"/>
    <n v="2"/>
    <n v="50"/>
    <x v="4"/>
  </r>
  <r>
    <x v="187"/>
    <x v="143"/>
    <x v="187"/>
    <x v="0"/>
    <x v="30"/>
    <x v="1"/>
    <n v="3"/>
    <n v="25"/>
    <x v="8"/>
  </r>
  <r>
    <x v="188"/>
    <x v="144"/>
    <x v="188"/>
    <x v="0"/>
    <x v="7"/>
    <x v="0"/>
    <n v="1"/>
    <n v="50"/>
    <x v="5"/>
  </r>
  <r>
    <x v="189"/>
    <x v="145"/>
    <x v="189"/>
    <x v="1"/>
    <x v="43"/>
    <x v="0"/>
    <n v="3"/>
    <n v="30"/>
    <x v="15"/>
  </r>
  <r>
    <x v="190"/>
    <x v="91"/>
    <x v="190"/>
    <x v="0"/>
    <x v="12"/>
    <x v="0"/>
    <n v="1"/>
    <n v="25"/>
    <x v="16"/>
  </r>
  <r>
    <x v="191"/>
    <x v="48"/>
    <x v="191"/>
    <x v="0"/>
    <x v="17"/>
    <x v="0"/>
    <n v="2"/>
    <n v="50"/>
    <x v="4"/>
  </r>
  <r>
    <x v="192"/>
    <x v="146"/>
    <x v="192"/>
    <x v="0"/>
    <x v="10"/>
    <x v="0"/>
    <n v="3"/>
    <n v="500"/>
    <x v="9"/>
  </r>
  <r>
    <x v="193"/>
    <x v="147"/>
    <x v="193"/>
    <x v="0"/>
    <x v="28"/>
    <x v="1"/>
    <n v="4"/>
    <n v="50"/>
    <x v="7"/>
  </r>
  <r>
    <x v="194"/>
    <x v="57"/>
    <x v="194"/>
    <x v="0"/>
    <x v="8"/>
    <x v="1"/>
    <n v="1"/>
    <n v="30"/>
    <x v="2"/>
  </r>
  <r>
    <x v="195"/>
    <x v="148"/>
    <x v="195"/>
    <x v="1"/>
    <x v="40"/>
    <x v="1"/>
    <n v="3"/>
    <n v="300"/>
    <x v="12"/>
  </r>
  <r>
    <x v="196"/>
    <x v="149"/>
    <x v="196"/>
    <x v="1"/>
    <x v="13"/>
    <x v="1"/>
    <n v="4"/>
    <n v="50"/>
    <x v="7"/>
  </r>
  <r>
    <x v="197"/>
    <x v="150"/>
    <x v="197"/>
    <x v="1"/>
    <x v="31"/>
    <x v="0"/>
    <n v="3"/>
    <n v="300"/>
    <x v="12"/>
  </r>
  <r>
    <x v="198"/>
    <x v="151"/>
    <x v="198"/>
    <x v="0"/>
    <x v="5"/>
    <x v="0"/>
    <n v="3"/>
    <n v="500"/>
    <x v="9"/>
  </r>
  <r>
    <x v="199"/>
    <x v="152"/>
    <x v="199"/>
    <x v="0"/>
    <x v="15"/>
    <x v="0"/>
    <n v="3"/>
    <n v="50"/>
    <x v="0"/>
  </r>
  <r>
    <x v="200"/>
    <x v="153"/>
    <x v="200"/>
    <x v="0"/>
    <x v="37"/>
    <x v="2"/>
    <n v="1"/>
    <n v="25"/>
    <x v="16"/>
  </r>
  <r>
    <x v="201"/>
    <x v="154"/>
    <x v="201"/>
    <x v="1"/>
    <x v="0"/>
    <x v="1"/>
    <n v="4"/>
    <n v="300"/>
    <x v="14"/>
  </r>
  <r>
    <x v="202"/>
    <x v="42"/>
    <x v="202"/>
    <x v="0"/>
    <x v="37"/>
    <x v="1"/>
    <n v="2"/>
    <n v="500"/>
    <x v="1"/>
  </r>
  <r>
    <x v="203"/>
    <x v="118"/>
    <x v="203"/>
    <x v="0"/>
    <x v="23"/>
    <x v="0"/>
    <n v="1"/>
    <n v="25"/>
    <x v="16"/>
  </r>
  <r>
    <x v="204"/>
    <x v="155"/>
    <x v="204"/>
    <x v="1"/>
    <x v="22"/>
    <x v="1"/>
    <n v="1"/>
    <n v="25"/>
    <x v="16"/>
  </r>
  <r>
    <x v="205"/>
    <x v="12"/>
    <x v="205"/>
    <x v="0"/>
    <x v="39"/>
    <x v="1"/>
    <n v="1"/>
    <n v="25"/>
    <x v="16"/>
  </r>
  <r>
    <x v="206"/>
    <x v="90"/>
    <x v="206"/>
    <x v="1"/>
    <x v="13"/>
    <x v="0"/>
    <n v="2"/>
    <n v="25"/>
    <x v="5"/>
  </r>
  <r>
    <x v="207"/>
    <x v="135"/>
    <x v="207"/>
    <x v="1"/>
    <x v="0"/>
    <x v="2"/>
    <n v="4"/>
    <n v="50"/>
    <x v="7"/>
  </r>
  <r>
    <x v="208"/>
    <x v="156"/>
    <x v="208"/>
    <x v="1"/>
    <x v="4"/>
    <x v="2"/>
    <n v="4"/>
    <n v="50"/>
    <x v="7"/>
  </r>
  <r>
    <x v="209"/>
    <x v="157"/>
    <x v="209"/>
    <x v="0"/>
    <x v="3"/>
    <x v="2"/>
    <n v="4"/>
    <n v="50"/>
    <x v="7"/>
  </r>
  <r>
    <x v="210"/>
    <x v="158"/>
    <x v="210"/>
    <x v="0"/>
    <x v="13"/>
    <x v="0"/>
    <n v="3"/>
    <n v="500"/>
    <x v="9"/>
  </r>
  <r>
    <x v="211"/>
    <x v="159"/>
    <x v="211"/>
    <x v="0"/>
    <x v="34"/>
    <x v="1"/>
    <n v="3"/>
    <n v="500"/>
    <x v="9"/>
  </r>
  <r>
    <x v="212"/>
    <x v="104"/>
    <x v="212"/>
    <x v="0"/>
    <x v="15"/>
    <x v="0"/>
    <n v="3"/>
    <n v="500"/>
    <x v="9"/>
  </r>
  <r>
    <x v="213"/>
    <x v="70"/>
    <x v="213"/>
    <x v="0"/>
    <x v="29"/>
    <x v="0"/>
    <n v="2"/>
    <n v="30"/>
    <x v="17"/>
  </r>
  <r>
    <x v="214"/>
    <x v="23"/>
    <x v="214"/>
    <x v="0"/>
    <x v="26"/>
    <x v="1"/>
    <n v="3"/>
    <n v="500"/>
    <x v="9"/>
  </r>
  <r>
    <x v="215"/>
    <x v="133"/>
    <x v="215"/>
    <x v="0"/>
    <x v="17"/>
    <x v="2"/>
    <n v="2"/>
    <n v="50"/>
    <x v="4"/>
  </r>
  <r>
    <x v="216"/>
    <x v="160"/>
    <x v="216"/>
    <x v="1"/>
    <x v="10"/>
    <x v="2"/>
    <n v="4"/>
    <n v="50"/>
    <x v="7"/>
  </r>
  <r>
    <x v="217"/>
    <x v="161"/>
    <x v="217"/>
    <x v="0"/>
    <x v="12"/>
    <x v="0"/>
    <n v="3"/>
    <n v="30"/>
    <x v="15"/>
  </r>
  <r>
    <x v="218"/>
    <x v="162"/>
    <x v="218"/>
    <x v="1"/>
    <x v="45"/>
    <x v="2"/>
    <n v="3"/>
    <n v="30"/>
    <x v="15"/>
  </r>
  <r>
    <x v="219"/>
    <x v="163"/>
    <x v="219"/>
    <x v="0"/>
    <x v="12"/>
    <x v="0"/>
    <n v="1"/>
    <n v="500"/>
    <x v="3"/>
  </r>
  <r>
    <x v="220"/>
    <x v="98"/>
    <x v="220"/>
    <x v="0"/>
    <x v="23"/>
    <x v="0"/>
    <n v="2"/>
    <n v="300"/>
    <x v="6"/>
  </r>
  <r>
    <x v="221"/>
    <x v="164"/>
    <x v="221"/>
    <x v="0"/>
    <x v="25"/>
    <x v="1"/>
    <n v="4"/>
    <n v="30"/>
    <x v="10"/>
  </r>
  <r>
    <x v="222"/>
    <x v="114"/>
    <x v="222"/>
    <x v="1"/>
    <x v="12"/>
    <x v="1"/>
    <n v="1"/>
    <n v="25"/>
    <x v="16"/>
  </r>
  <r>
    <x v="223"/>
    <x v="165"/>
    <x v="223"/>
    <x v="1"/>
    <x v="36"/>
    <x v="1"/>
    <n v="1"/>
    <n v="50"/>
    <x v="5"/>
  </r>
  <r>
    <x v="224"/>
    <x v="166"/>
    <x v="224"/>
    <x v="1"/>
    <x v="35"/>
    <x v="0"/>
    <n v="4"/>
    <n v="25"/>
    <x v="4"/>
  </r>
  <r>
    <x v="225"/>
    <x v="28"/>
    <x v="225"/>
    <x v="1"/>
    <x v="39"/>
    <x v="1"/>
    <n v="1"/>
    <n v="50"/>
    <x v="5"/>
  </r>
  <r>
    <x v="226"/>
    <x v="120"/>
    <x v="226"/>
    <x v="0"/>
    <x v="32"/>
    <x v="2"/>
    <n v="2"/>
    <n v="50"/>
    <x v="4"/>
  </r>
  <r>
    <x v="227"/>
    <x v="85"/>
    <x v="227"/>
    <x v="1"/>
    <x v="42"/>
    <x v="2"/>
    <n v="2"/>
    <n v="30"/>
    <x v="17"/>
  </r>
  <r>
    <x v="228"/>
    <x v="28"/>
    <x v="228"/>
    <x v="0"/>
    <x v="26"/>
    <x v="0"/>
    <n v="3"/>
    <n v="30"/>
    <x v="15"/>
  </r>
  <r>
    <x v="229"/>
    <x v="26"/>
    <x v="229"/>
    <x v="0"/>
    <x v="31"/>
    <x v="0"/>
    <n v="1"/>
    <n v="25"/>
    <x v="16"/>
  </r>
  <r>
    <x v="230"/>
    <x v="30"/>
    <x v="230"/>
    <x v="1"/>
    <x v="9"/>
    <x v="1"/>
    <n v="3"/>
    <n v="50"/>
    <x v="0"/>
  </r>
  <r>
    <x v="231"/>
    <x v="74"/>
    <x v="231"/>
    <x v="1"/>
    <x v="22"/>
    <x v="0"/>
    <n v="1"/>
    <n v="25"/>
    <x v="16"/>
  </r>
  <r>
    <x v="232"/>
    <x v="167"/>
    <x v="232"/>
    <x v="1"/>
    <x v="25"/>
    <x v="0"/>
    <n v="2"/>
    <n v="300"/>
    <x v="6"/>
  </r>
  <r>
    <x v="233"/>
    <x v="168"/>
    <x v="233"/>
    <x v="1"/>
    <x v="17"/>
    <x v="2"/>
    <n v="2"/>
    <n v="25"/>
    <x v="5"/>
  </r>
  <r>
    <x v="234"/>
    <x v="169"/>
    <x v="234"/>
    <x v="1"/>
    <x v="9"/>
    <x v="2"/>
    <n v="2"/>
    <n v="500"/>
    <x v="1"/>
  </r>
  <r>
    <x v="235"/>
    <x v="85"/>
    <x v="235"/>
    <x v="1"/>
    <x v="31"/>
    <x v="1"/>
    <n v="1"/>
    <n v="25"/>
    <x v="16"/>
  </r>
  <r>
    <x v="236"/>
    <x v="170"/>
    <x v="236"/>
    <x v="1"/>
    <x v="2"/>
    <x v="0"/>
    <n v="2"/>
    <n v="500"/>
    <x v="1"/>
  </r>
  <r>
    <x v="237"/>
    <x v="13"/>
    <x v="237"/>
    <x v="1"/>
    <x v="23"/>
    <x v="0"/>
    <n v="1"/>
    <n v="500"/>
    <x v="3"/>
  </r>
  <r>
    <x v="238"/>
    <x v="171"/>
    <x v="238"/>
    <x v="0"/>
    <x v="21"/>
    <x v="2"/>
    <n v="3"/>
    <n v="500"/>
    <x v="9"/>
  </r>
  <r>
    <x v="239"/>
    <x v="74"/>
    <x v="239"/>
    <x v="1"/>
    <x v="9"/>
    <x v="0"/>
    <n v="1"/>
    <n v="300"/>
    <x v="13"/>
  </r>
  <r>
    <x v="240"/>
    <x v="172"/>
    <x v="240"/>
    <x v="1"/>
    <x v="9"/>
    <x v="2"/>
    <n v="3"/>
    <n v="25"/>
    <x v="8"/>
  </r>
  <r>
    <x v="241"/>
    <x v="173"/>
    <x v="241"/>
    <x v="0"/>
    <x v="34"/>
    <x v="1"/>
    <n v="1"/>
    <n v="25"/>
    <x v="16"/>
  </r>
  <r>
    <x v="242"/>
    <x v="29"/>
    <x v="242"/>
    <x v="1"/>
    <x v="16"/>
    <x v="2"/>
    <n v="3"/>
    <n v="300"/>
    <x v="12"/>
  </r>
  <r>
    <x v="243"/>
    <x v="174"/>
    <x v="243"/>
    <x v="0"/>
    <x v="20"/>
    <x v="0"/>
    <n v="2"/>
    <n v="50"/>
    <x v="4"/>
  </r>
  <r>
    <x v="244"/>
    <x v="147"/>
    <x v="244"/>
    <x v="0"/>
    <x v="16"/>
    <x v="1"/>
    <n v="3"/>
    <n v="30"/>
    <x v="15"/>
  </r>
  <r>
    <x v="245"/>
    <x v="175"/>
    <x v="245"/>
    <x v="1"/>
    <x v="27"/>
    <x v="2"/>
    <n v="2"/>
    <n v="25"/>
    <x v="5"/>
  </r>
  <r>
    <x v="246"/>
    <x v="135"/>
    <x v="246"/>
    <x v="0"/>
    <x v="41"/>
    <x v="2"/>
    <n v="2"/>
    <n v="30"/>
    <x v="17"/>
  </r>
  <r>
    <x v="247"/>
    <x v="176"/>
    <x v="247"/>
    <x v="0"/>
    <x v="1"/>
    <x v="1"/>
    <n v="3"/>
    <n v="300"/>
    <x v="12"/>
  </r>
  <r>
    <x v="248"/>
    <x v="177"/>
    <x v="248"/>
    <x v="0"/>
    <x v="29"/>
    <x v="1"/>
    <n v="1"/>
    <n v="50"/>
    <x v="5"/>
  </r>
  <r>
    <x v="249"/>
    <x v="54"/>
    <x v="249"/>
    <x v="0"/>
    <x v="27"/>
    <x v="2"/>
    <n v="1"/>
    <n v="50"/>
    <x v="5"/>
  </r>
  <r>
    <x v="250"/>
    <x v="178"/>
    <x v="250"/>
    <x v="1"/>
    <x v="35"/>
    <x v="0"/>
    <n v="4"/>
    <n v="50"/>
    <x v="7"/>
  </r>
  <r>
    <x v="251"/>
    <x v="179"/>
    <x v="251"/>
    <x v="0"/>
    <x v="31"/>
    <x v="2"/>
    <n v="1"/>
    <n v="300"/>
    <x v="13"/>
  </r>
  <r>
    <x v="252"/>
    <x v="178"/>
    <x v="252"/>
    <x v="1"/>
    <x v="45"/>
    <x v="1"/>
    <n v="4"/>
    <n v="500"/>
    <x v="11"/>
  </r>
  <r>
    <x v="253"/>
    <x v="180"/>
    <x v="253"/>
    <x v="0"/>
    <x v="41"/>
    <x v="2"/>
    <n v="1"/>
    <n v="500"/>
    <x v="3"/>
  </r>
  <r>
    <x v="254"/>
    <x v="181"/>
    <x v="254"/>
    <x v="0"/>
    <x v="27"/>
    <x v="1"/>
    <n v="1"/>
    <n v="30"/>
    <x v="2"/>
  </r>
  <r>
    <x v="255"/>
    <x v="182"/>
    <x v="255"/>
    <x v="0"/>
    <x v="9"/>
    <x v="1"/>
    <n v="2"/>
    <n v="500"/>
    <x v="1"/>
  </r>
  <r>
    <x v="256"/>
    <x v="38"/>
    <x v="256"/>
    <x v="0"/>
    <x v="14"/>
    <x v="0"/>
    <n v="4"/>
    <n v="500"/>
    <x v="11"/>
  </r>
  <r>
    <x v="257"/>
    <x v="151"/>
    <x v="257"/>
    <x v="1"/>
    <x v="3"/>
    <x v="1"/>
    <n v="1"/>
    <n v="50"/>
    <x v="5"/>
  </r>
  <r>
    <x v="258"/>
    <x v="183"/>
    <x v="258"/>
    <x v="1"/>
    <x v="5"/>
    <x v="1"/>
    <n v="4"/>
    <n v="50"/>
    <x v="7"/>
  </r>
  <r>
    <x v="259"/>
    <x v="68"/>
    <x v="259"/>
    <x v="0"/>
    <x v="20"/>
    <x v="0"/>
    <n v="2"/>
    <n v="30"/>
    <x v="17"/>
  </r>
  <r>
    <x v="260"/>
    <x v="12"/>
    <x v="260"/>
    <x v="0"/>
    <x v="34"/>
    <x v="1"/>
    <n v="2"/>
    <n v="25"/>
    <x v="5"/>
  </r>
  <r>
    <x v="261"/>
    <x v="184"/>
    <x v="261"/>
    <x v="1"/>
    <x v="40"/>
    <x v="0"/>
    <n v="4"/>
    <n v="30"/>
    <x v="10"/>
  </r>
  <r>
    <x v="262"/>
    <x v="117"/>
    <x v="262"/>
    <x v="0"/>
    <x v="9"/>
    <x v="0"/>
    <n v="2"/>
    <n v="30"/>
    <x v="17"/>
  </r>
  <r>
    <x v="263"/>
    <x v="185"/>
    <x v="263"/>
    <x v="0"/>
    <x v="16"/>
    <x v="1"/>
    <n v="3"/>
    <n v="300"/>
    <x v="12"/>
  </r>
  <r>
    <x v="264"/>
    <x v="186"/>
    <x v="264"/>
    <x v="0"/>
    <x v="28"/>
    <x v="1"/>
    <n v="3"/>
    <n v="300"/>
    <x v="12"/>
  </r>
  <r>
    <x v="265"/>
    <x v="187"/>
    <x v="265"/>
    <x v="1"/>
    <x v="14"/>
    <x v="2"/>
    <n v="2"/>
    <n v="30"/>
    <x v="17"/>
  </r>
  <r>
    <x v="266"/>
    <x v="188"/>
    <x v="266"/>
    <x v="1"/>
    <x v="40"/>
    <x v="0"/>
    <n v="3"/>
    <n v="30"/>
    <x v="15"/>
  </r>
  <r>
    <x v="267"/>
    <x v="189"/>
    <x v="267"/>
    <x v="1"/>
    <x v="20"/>
    <x v="2"/>
    <n v="1"/>
    <n v="30"/>
    <x v="2"/>
  </r>
  <r>
    <x v="268"/>
    <x v="190"/>
    <x v="268"/>
    <x v="0"/>
    <x v="36"/>
    <x v="1"/>
    <n v="4"/>
    <n v="500"/>
    <x v="11"/>
  </r>
  <r>
    <x v="269"/>
    <x v="191"/>
    <x v="269"/>
    <x v="0"/>
    <x v="22"/>
    <x v="2"/>
    <n v="1"/>
    <n v="300"/>
    <x v="13"/>
  </r>
  <r>
    <x v="270"/>
    <x v="165"/>
    <x v="270"/>
    <x v="1"/>
    <x v="17"/>
    <x v="0"/>
    <n v="4"/>
    <n v="30"/>
    <x v="10"/>
  </r>
  <r>
    <x v="271"/>
    <x v="192"/>
    <x v="271"/>
    <x v="1"/>
    <x v="39"/>
    <x v="2"/>
    <n v="2"/>
    <n v="50"/>
    <x v="4"/>
  </r>
  <r>
    <x v="272"/>
    <x v="193"/>
    <x v="272"/>
    <x v="1"/>
    <x v="11"/>
    <x v="0"/>
    <n v="1"/>
    <n v="50"/>
    <x v="5"/>
  </r>
  <r>
    <x v="273"/>
    <x v="55"/>
    <x v="273"/>
    <x v="1"/>
    <x v="9"/>
    <x v="1"/>
    <n v="2"/>
    <n v="500"/>
    <x v="1"/>
  </r>
  <r>
    <x v="274"/>
    <x v="181"/>
    <x v="274"/>
    <x v="0"/>
    <x v="22"/>
    <x v="1"/>
    <n v="2"/>
    <n v="500"/>
    <x v="1"/>
  </r>
  <r>
    <x v="275"/>
    <x v="45"/>
    <x v="275"/>
    <x v="1"/>
    <x v="34"/>
    <x v="0"/>
    <n v="4"/>
    <n v="25"/>
    <x v="4"/>
  </r>
  <r>
    <x v="276"/>
    <x v="27"/>
    <x v="276"/>
    <x v="0"/>
    <x v="32"/>
    <x v="1"/>
    <n v="4"/>
    <n v="25"/>
    <x v="4"/>
  </r>
  <r>
    <x v="277"/>
    <x v="6"/>
    <x v="277"/>
    <x v="1"/>
    <x v="3"/>
    <x v="1"/>
    <n v="4"/>
    <n v="25"/>
    <x v="4"/>
  </r>
  <r>
    <x v="278"/>
    <x v="12"/>
    <x v="278"/>
    <x v="0"/>
    <x v="2"/>
    <x v="1"/>
    <n v="1"/>
    <n v="500"/>
    <x v="3"/>
  </r>
  <r>
    <x v="279"/>
    <x v="194"/>
    <x v="279"/>
    <x v="1"/>
    <x v="3"/>
    <x v="1"/>
    <n v="3"/>
    <n v="500"/>
    <x v="9"/>
  </r>
  <r>
    <x v="280"/>
    <x v="29"/>
    <x v="280"/>
    <x v="1"/>
    <x v="38"/>
    <x v="0"/>
    <n v="4"/>
    <n v="500"/>
    <x v="11"/>
  </r>
  <r>
    <x v="281"/>
    <x v="78"/>
    <x v="281"/>
    <x v="1"/>
    <x v="12"/>
    <x v="2"/>
    <n v="4"/>
    <n v="50"/>
    <x v="7"/>
  </r>
  <r>
    <x v="282"/>
    <x v="193"/>
    <x v="282"/>
    <x v="1"/>
    <x v="18"/>
    <x v="2"/>
    <n v="1"/>
    <n v="500"/>
    <x v="3"/>
  </r>
  <r>
    <x v="283"/>
    <x v="195"/>
    <x v="283"/>
    <x v="0"/>
    <x v="22"/>
    <x v="1"/>
    <n v="4"/>
    <n v="50"/>
    <x v="7"/>
  </r>
  <r>
    <x v="284"/>
    <x v="196"/>
    <x v="284"/>
    <x v="1"/>
    <x v="33"/>
    <x v="2"/>
    <n v="1"/>
    <n v="25"/>
    <x v="16"/>
  </r>
  <r>
    <x v="285"/>
    <x v="153"/>
    <x v="285"/>
    <x v="0"/>
    <x v="28"/>
    <x v="2"/>
    <n v="2"/>
    <n v="25"/>
    <x v="5"/>
  </r>
  <r>
    <x v="286"/>
    <x v="189"/>
    <x v="286"/>
    <x v="0"/>
    <x v="31"/>
    <x v="1"/>
    <n v="4"/>
    <n v="25"/>
    <x v="4"/>
  </r>
  <r>
    <x v="287"/>
    <x v="197"/>
    <x v="287"/>
    <x v="0"/>
    <x v="20"/>
    <x v="1"/>
    <n v="4"/>
    <n v="30"/>
    <x v="10"/>
  </r>
  <r>
    <x v="288"/>
    <x v="198"/>
    <x v="288"/>
    <x v="0"/>
    <x v="45"/>
    <x v="2"/>
    <n v="2"/>
    <n v="30"/>
    <x v="17"/>
  </r>
  <r>
    <x v="289"/>
    <x v="135"/>
    <x v="289"/>
    <x v="1"/>
    <x v="4"/>
    <x v="0"/>
    <n v="2"/>
    <n v="300"/>
    <x v="6"/>
  </r>
  <r>
    <x v="290"/>
    <x v="199"/>
    <x v="290"/>
    <x v="0"/>
    <x v="43"/>
    <x v="1"/>
    <n v="2"/>
    <n v="300"/>
    <x v="6"/>
  </r>
  <r>
    <x v="291"/>
    <x v="15"/>
    <x v="291"/>
    <x v="0"/>
    <x v="29"/>
    <x v="0"/>
    <n v="4"/>
    <n v="300"/>
    <x v="14"/>
  </r>
  <r>
    <x v="292"/>
    <x v="173"/>
    <x v="292"/>
    <x v="0"/>
    <x v="2"/>
    <x v="2"/>
    <n v="3"/>
    <n v="30"/>
    <x v="15"/>
  </r>
  <r>
    <x v="293"/>
    <x v="200"/>
    <x v="293"/>
    <x v="1"/>
    <x v="9"/>
    <x v="1"/>
    <n v="3"/>
    <n v="30"/>
    <x v="15"/>
  </r>
  <r>
    <x v="294"/>
    <x v="180"/>
    <x v="294"/>
    <x v="1"/>
    <x v="15"/>
    <x v="0"/>
    <n v="3"/>
    <n v="300"/>
    <x v="12"/>
  </r>
  <r>
    <x v="295"/>
    <x v="147"/>
    <x v="295"/>
    <x v="1"/>
    <x v="11"/>
    <x v="1"/>
    <n v="4"/>
    <n v="300"/>
    <x v="14"/>
  </r>
  <r>
    <x v="296"/>
    <x v="201"/>
    <x v="296"/>
    <x v="1"/>
    <x v="30"/>
    <x v="2"/>
    <n v="2"/>
    <n v="500"/>
    <x v="1"/>
  </r>
  <r>
    <x v="297"/>
    <x v="175"/>
    <x v="297"/>
    <x v="0"/>
    <x v="15"/>
    <x v="0"/>
    <n v="4"/>
    <n v="300"/>
    <x v="14"/>
  </r>
  <r>
    <x v="298"/>
    <x v="87"/>
    <x v="298"/>
    <x v="0"/>
    <x v="39"/>
    <x v="2"/>
    <n v="2"/>
    <n v="500"/>
    <x v="1"/>
  </r>
  <r>
    <x v="299"/>
    <x v="169"/>
    <x v="299"/>
    <x v="1"/>
    <x v="14"/>
    <x v="2"/>
    <n v="4"/>
    <n v="50"/>
    <x v="7"/>
  </r>
  <r>
    <x v="300"/>
    <x v="154"/>
    <x v="300"/>
    <x v="0"/>
    <x v="4"/>
    <x v="1"/>
    <n v="4"/>
    <n v="30"/>
    <x v="10"/>
  </r>
  <r>
    <x v="301"/>
    <x v="37"/>
    <x v="301"/>
    <x v="0"/>
    <x v="35"/>
    <x v="0"/>
    <n v="2"/>
    <n v="300"/>
    <x v="6"/>
  </r>
  <r>
    <x v="302"/>
    <x v="126"/>
    <x v="302"/>
    <x v="0"/>
    <x v="14"/>
    <x v="2"/>
    <n v="3"/>
    <n v="30"/>
    <x v="15"/>
  </r>
  <r>
    <x v="303"/>
    <x v="202"/>
    <x v="303"/>
    <x v="1"/>
    <x v="3"/>
    <x v="2"/>
    <n v="2"/>
    <n v="30"/>
    <x v="17"/>
  </r>
  <r>
    <x v="304"/>
    <x v="42"/>
    <x v="304"/>
    <x v="1"/>
    <x v="18"/>
    <x v="0"/>
    <n v="1"/>
    <n v="30"/>
    <x v="2"/>
  </r>
  <r>
    <x v="305"/>
    <x v="63"/>
    <x v="305"/>
    <x v="0"/>
    <x v="31"/>
    <x v="2"/>
    <n v="1"/>
    <n v="50"/>
    <x v="5"/>
  </r>
  <r>
    <x v="306"/>
    <x v="203"/>
    <x v="306"/>
    <x v="1"/>
    <x v="1"/>
    <x v="2"/>
    <n v="2"/>
    <n v="25"/>
    <x v="5"/>
  </r>
  <r>
    <x v="307"/>
    <x v="12"/>
    <x v="307"/>
    <x v="1"/>
    <x v="0"/>
    <x v="0"/>
    <n v="4"/>
    <n v="300"/>
    <x v="14"/>
  </r>
  <r>
    <x v="308"/>
    <x v="204"/>
    <x v="308"/>
    <x v="1"/>
    <x v="1"/>
    <x v="0"/>
    <n v="1"/>
    <n v="25"/>
    <x v="16"/>
  </r>
  <r>
    <x v="309"/>
    <x v="205"/>
    <x v="309"/>
    <x v="1"/>
    <x v="20"/>
    <x v="0"/>
    <n v="1"/>
    <n v="25"/>
    <x v="16"/>
  </r>
  <r>
    <x v="310"/>
    <x v="59"/>
    <x v="310"/>
    <x v="1"/>
    <x v="40"/>
    <x v="0"/>
    <n v="4"/>
    <n v="25"/>
    <x v="4"/>
  </r>
  <r>
    <x v="311"/>
    <x v="206"/>
    <x v="311"/>
    <x v="0"/>
    <x v="41"/>
    <x v="1"/>
    <n v="4"/>
    <n v="30"/>
    <x v="10"/>
  </r>
  <r>
    <x v="312"/>
    <x v="34"/>
    <x v="312"/>
    <x v="1"/>
    <x v="28"/>
    <x v="0"/>
    <n v="3"/>
    <n v="500"/>
    <x v="9"/>
  </r>
  <r>
    <x v="313"/>
    <x v="181"/>
    <x v="313"/>
    <x v="0"/>
    <x v="8"/>
    <x v="1"/>
    <n v="4"/>
    <n v="30"/>
    <x v="10"/>
  </r>
  <r>
    <x v="314"/>
    <x v="207"/>
    <x v="314"/>
    <x v="0"/>
    <x v="16"/>
    <x v="1"/>
    <n v="2"/>
    <n v="30"/>
    <x v="17"/>
  </r>
  <r>
    <x v="315"/>
    <x v="16"/>
    <x v="315"/>
    <x v="1"/>
    <x v="27"/>
    <x v="1"/>
    <n v="2"/>
    <n v="25"/>
    <x v="5"/>
  </r>
  <r>
    <x v="316"/>
    <x v="144"/>
    <x v="316"/>
    <x v="0"/>
    <x v="11"/>
    <x v="2"/>
    <n v="3"/>
    <n v="30"/>
    <x v="15"/>
  </r>
  <r>
    <x v="317"/>
    <x v="208"/>
    <x v="317"/>
    <x v="0"/>
    <x v="39"/>
    <x v="1"/>
    <n v="1"/>
    <n v="25"/>
    <x v="16"/>
  </r>
  <r>
    <x v="318"/>
    <x v="209"/>
    <x v="318"/>
    <x v="0"/>
    <x v="33"/>
    <x v="1"/>
    <n v="1"/>
    <n v="500"/>
    <x v="3"/>
  </r>
  <r>
    <x v="319"/>
    <x v="190"/>
    <x v="319"/>
    <x v="1"/>
    <x v="20"/>
    <x v="2"/>
    <n v="4"/>
    <n v="300"/>
    <x v="14"/>
  </r>
  <r>
    <x v="320"/>
    <x v="210"/>
    <x v="320"/>
    <x v="1"/>
    <x v="1"/>
    <x v="2"/>
    <n v="2"/>
    <n v="25"/>
    <x v="5"/>
  </r>
  <r>
    <x v="321"/>
    <x v="144"/>
    <x v="321"/>
    <x v="0"/>
    <x v="25"/>
    <x v="2"/>
    <n v="1"/>
    <n v="500"/>
    <x v="3"/>
  </r>
  <r>
    <x v="322"/>
    <x v="197"/>
    <x v="322"/>
    <x v="1"/>
    <x v="38"/>
    <x v="0"/>
    <n v="3"/>
    <n v="300"/>
    <x v="12"/>
  </r>
  <r>
    <x v="323"/>
    <x v="101"/>
    <x v="323"/>
    <x v="1"/>
    <x v="8"/>
    <x v="2"/>
    <n v="3"/>
    <n v="50"/>
    <x v="0"/>
  </r>
  <r>
    <x v="324"/>
    <x v="211"/>
    <x v="324"/>
    <x v="1"/>
    <x v="8"/>
    <x v="2"/>
    <n v="2"/>
    <n v="25"/>
    <x v="5"/>
  </r>
  <r>
    <x v="325"/>
    <x v="212"/>
    <x v="325"/>
    <x v="1"/>
    <x v="18"/>
    <x v="1"/>
    <n v="3"/>
    <n v="25"/>
    <x v="8"/>
  </r>
  <r>
    <x v="326"/>
    <x v="136"/>
    <x v="326"/>
    <x v="0"/>
    <x v="35"/>
    <x v="2"/>
    <n v="3"/>
    <n v="50"/>
    <x v="0"/>
  </r>
  <r>
    <x v="327"/>
    <x v="125"/>
    <x v="327"/>
    <x v="0"/>
    <x v="23"/>
    <x v="0"/>
    <n v="2"/>
    <n v="50"/>
    <x v="4"/>
  </r>
  <r>
    <x v="328"/>
    <x v="144"/>
    <x v="328"/>
    <x v="1"/>
    <x v="6"/>
    <x v="2"/>
    <n v="4"/>
    <n v="25"/>
    <x v="4"/>
  </r>
  <r>
    <x v="329"/>
    <x v="106"/>
    <x v="329"/>
    <x v="1"/>
    <x v="36"/>
    <x v="0"/>
    <n v="4"/>
    <n v="50"/>
    <x v="7"/>
  </r>
  <r>
    <x v="330"/>
    <x v="213"/>
    <x v="330"/>
    <x v="0"/>
    <x v="20"/>
    <x v="2"/>
    <n v="3"/>
    <n v="30"/>
    <x v="15"/>
  </r>
  <r>
    <x v="331"/>
    <x v="214"/>
    <x v="331"/>
    <x v="0"/>
    <x v="26"/>
    <x v="2"/>
    <n v="4"/>
    <n v="300"/>
    <x v="14"/>
  </r>
  <r>
    <x v="332"/>
    <x v="57"/>
    <x v="332"/>
    <x v="1"/>
    <x v="31"/>
    <x v="2"/>
    <n v="4"/>
    <n v="300"/>
    <x v="14"/>
  </r>
  <r>
    <x v="333"/>
    <x v="215"/>
    <x v="333"/>
    <x v="0"/>
    <x v="33"/>
    <x v="2"/>
    <n v="3"/>
    <n v="300"/>
    <x v="12"/>
  </r>
  <r>
    <x v="334"/>
    <x v="170"/>
    <x v="334"/>
    <x v="1"/>
    <x v="16"/>
    <x v="0"/>
    <n v="4"/>
    <n v="30"/>
    <x v="10"/>
  </r>
  <r>
    <x v="335"/>
    <x v="216"/>
    <x v="335"/>
    <x v="1"/>
    <x v="8"/>
    <x v="0"/>
    <n v="3"/>
    <n v="50"/>
    <x v="0"/>
  </r>
  <r>
    <x v="336"/>
    <x v="217"/>
    <x v="336"/>
    <x v="0"/>
    <x v="21"/>
    <x v="1"/>
    <n v="1"/>
    <n v="500"/>
    <x v="3"/>
  </r>
  <r>
    <x v="337"/>
    <x v="191"/>
    <x v="337"/>
    <x v="0"/>
    <x v="31"/>
    <x v="0"/>
    <n v="2"/>
    <n v="50"/>
    <x v="4"/>
  </r>
  <r>
    <x v="338"/>
    <x v="163"/>
    <x v="338"/>
    <x v="1"/>
    <x v="11"/>
    <x v="2"/>
    <n v="2"/>
    <n v="25"/>
    <x v="5"/>
  </r>
  <r>
    <x v="339"/>
    <x v="218"/>
    <x v="339"/>
    <x v="1"/>
    <x v="32"/>
    <x v="1"/>
    <n v="4"/>
    <n v="300"/>
    <x v="14"/>
  </r>
  <r>
    <x v="340"/>
    <x v="98"/>
    <x v="340"/>
    <x v="0"/>
    <x v="33"/>
    <x v="1"/>
    <n v="4"/>
    <n v="50"/>
    <x v="7"/>
  </r>
  <r>
    <x v="341"/>
    <x v="208"/>
    <x v="341"/>
    <x v="1"/>
    <x v="22"/>
    <x v="1"/>
    <n v="4"/>
    <n v="500"/>
    <x v="11"/>
  </r>
  <r>
    <x v="342"/>
    <x v="215"/>
    <x v="342"/>
    <x v="0"/>
    <x v="34"/>
    <x v="2"/>
    <n v="2"/>
    <n v="25"/>
    <x v="5"/>
  </r>
  <r>
    <x v="343"/>
    <x v="219"/>
    <x v="343"/>
    <x v="1"/>
    <x v="13"/>
    <x v="0"/>
    <n v="1"/>
    <n v="30"/>
    <x v="2"/>
  </r>
  <r>
    <x v="344"/>
    <x v="220"/>
    <x v="344"/>
    <x v="0"/>
    <x v="17"/>
    <x v="2"/>
    <n v="1"/>
    <n v="30"/>
    <x v="2"/>
  </r>
  <r>
    <x v="345"/>
    <x v="213"/>
    <x v="345"/>
    <x v="0"/>
    <x v="42"/>
    <x v="1"/>
    <n v="2"/>
    <n v="500"/>
    <x v="1"/>
  </r>
  <r>
    <x v="346"/>
    <x v="25"/>
    <x v="346"/>
    <x v="0"/>
    <x v="13"/>
    <x v="2"/>
    <n v="1"/>
    <n v="25"/>
    <x v="16"/>
  </r>
  <r>
    <x v="347"/>
    <x v="221"/>
    <x v="347"/>
    <x v="1"/>
    <x v="10"/>
    <x v="2"/>
    <n v="2"/>
    <n v="300"/>
    <x v="6"/>
  </r>
  <r>
    <x v="348"/>
    <x v="103"/>
    <x v="348"/>
    <x v="1"/>
    <x v="35"/>
    <x v="0"/>
    <n v="1"/>
    <n v="50"/>
    <x v="5"/>
  </r>
  <r>
    <x v="349"/>
    <x v="222"/>
    <x v="349"/>
    <x v="0"/>
    <x v="36"/>
    <x v="0"/>
    <n v="3"/>
    <n v="25"/>
    <x v="8"/>
  </r>
  <r>
    <x v="350"/>
    <x v="223"/>
    <x v="350"/>
    <x v="1"/>
    <x v="37"/>
    <x v="1"/>
    <n v="3"/>
    <n v="30"/>
    <x v="15"/>
  </r>
  <r>
    <x v="351"/>
    <x v="86"/>
    <x v="351"/>
    <x v="0"/>
    <x v="35"/>
    <x v="2"/>
    <n v="2"/>
    <n v="500"/>
    <x v="1"/>
  </r>
  <r>
    <x v="352"/>
    <x v="224"/>
    <x v="352"/>
    <x v="0"/>
    <x v="33"/>
    <x v="2"/>
    <n v="1"/>
    <n v="500"/>
    <x v="3"/>
  </r>
  <r>
    <x v="353"/>
    <x v="225"/>
    <x v="353"/>
    <x v="1"/>
    <x v="19"/>
    <x v="0"/>
    <n v="4"/>
    <n v="50"/>
    <x v="7"/>
  </r>
  <r>
    <x v="354"/>
    <x v="174"/>
    <x v="354"/>
    <x v="1"/>
    <x v="28"/>
    <x v="2"/>
    <n v="1"/>
    <n v="500"/>
    <x v="3"/>
  </r>
  <r>
    <x v="355"/>
    <x v="210"/>
    <x v="355"/>
    <x v="0"/>
    <x v="2"/>
    <x v="2"/>
    <n v="3"/>
    <n v="500"/>
    <x v="9"/>
  </r>
  <r>
    <x v="356"/>
    <x v="143"/>
    <x v="356"/>
    <x v="1"/>
    <x v="30"/>
    <x v="2"/>
    <n v="3"/>
    <n v="25"/>
    <x v="8"/>
  </r>
  <r>
    <x v="357"/>
    <x v="42"/>
    <x v="357"/>
    <x v="1"/>
    <x v="40"/>
    <x v="0"/>
    <n v="1"/>
    <n v="300"/>
    <x v="13"/>
  </r>
  <r>
    <x v="358"/>
    <x v="94"/>
    <x v="358"/>
    <x v="0"/>
    <x v="2"/>
    <x v="1"/>
    <n v="1"/>
    <n v="50"/>
    <x v="5"/>
  </r>
  <r>
    <x v="359"/>
    <x v="176"/>
    <x v="359"/>
    <x v="0"/>
    <x v="13"/>
    <x v="1"/>
    <n v="4"/>
    <n v="25"/>
    <x v="4"/>
  </r>
  <r>
    <x v="360"/>
    <x v="70"/>
    <x v="360"/>
    <x v="1"/>
    <x v="0"/>
    <x v="2"/>
    <n v="4"/>
    <n v="300"/>
    <x v="14"/>
  </r>
  <r>
    <x v="361"/>
    <x v="188"/>
    <x v="361"/>
    <x v="0"/>
    <x v="2"/>
    <x v="1"/>
    <n v="1"/>
    <n v="25"/>
    <x v="16"/>
  </r>
  <r>
    <x v="362"/>
    <x v="226"/>
    <x v="362"/>
    <x v="0"/>
    <x v="12"/>
    <x v="0"/>
    <n v="1"/>
    <n v="25"/>
    <x v="16"/>
  </r>
  <r>
    <x v="363"/>
    <x v="96"/>
    <x v="363"/>
    <x v="1"/>
    <x v="14"/>
    <x v="0"/>
    <n v="1"/>
    <n v="500"/>
    <x v="3"/>
  </r>
  <r>
    <x v="364"/>
    <x v="86"/>
    <x v="364"/>
    <x v="0"/>
    <x v="33"/>
    <x v="1"/>
    <n v="1"/>
    <n v="300"/>
    <x v="13"/>
  </r>
  <r>
    <x v="365"/>
    <x v="227"/>
    <x v="365"/>
    <x v="0"/>
    <x v="35"/>
    <x v="1"/>
    <n v="2"/>
    <n v="50"/>
    <x v="4"/>
  </r>
  <r>
    <x v="366"/>
    <x v="228"/>
    <x v="366"/>
    <x v="1"/>
    <x v="35"/>
    <x v="2"/>
    <n v="1"/>
    <n v="50"/>
    <x v="5"/>
  </r>
  <r>
    <x v="367"/>
    <x v="96"/>
    <x v="367"/>
    <x v="1"/>
    <x v="37"/>
    <x v="1"/>
    <n v="4"/>
    <n v="300"/>
    <x v="14"/>
  </r>
  <r>
    <x v="368"/>
    <x v="229"/>
    <x v="368"/>
    <x v="0"/>
    <x v="9"/>
    <x v="2"/>
    <n v="3"/>
    <n v="500"/>
    <x v="9"/>
  </r>
  <r>
    <x v="369"/>
    <x v="230"/>
    <x v="369"/>
    <x v="0"/>
    <x v="9"/>
    <x v="2"/>
    <n v="2"/>
    <n v="30"/>
    <x v="17"/>
  </r>
  <r>
    <x v="370"/>
    <x v="62"/>
    <x v="370"/>
    <x v="1"/>
    <x v="29"/>
    <x v="0"/>
    <n v="1"/>
    <n v="25"/>
    <x v="16"/>
  </r>
  <r>
    <x v="371"/>
    <x v="227"/>
    <x v="371"/>
    <x v="1"/>
    <x v="46"/>
    <x v="0"/>
    <n v="3"/>
    <n v="500"/>
    <x v="9"/>
  </r>
  <r>
    <x v="372"/>
    <x v="99"/>
    <x v="372"/>
    <x v="1"/>
    <x v="36"/>
    <x v="0"/>
    <n v="2"/>
    <n v="300"/>
    <x v="6"/>
  </r>
  <r>
    <x v="373"/>
    <x v="175"/>
    <x v="373"/>
    <x v="1"/>
    <x v="42"/>
    <x v="0"/>
    <n v="3"/>
    <n v="25"/>
    <x v="8"/>
  </r>
  <r>
    <x v="374"/>
    <x v="129"/>
    <x v="374"/>
    <x v="0"/>
    <x v="40"/>
    <x v="1"/>
    <n v="1"/>
    <n v="50"/>
    <x v="5"/>
  </r>
  <r>
    <x v="375"/>
    <x v="42"/>
    <x v="375"/>
    <x v="1"/>
    <x v="12"/>
    <x v="0"/>
    <n v="1"/>
    <n v="30"/>
    <x v="2"/>
  </r>
  <r>
    <x v="376"/>
    <x v="176"/>
    <x v="376"/>
    <x v="1"/>
    <x v="6"/>
    <x v="1"/>
    <n v="4"/>
    <n v="50"/>
    <x v="7"/>
  </r>
  <r>
    <x v="377"/>
    <x v="231"/>
    <x v="377"/>
    <x v="0"/>
    <x v="2"/>
    <x v="0"/>
    <n v="1"/>
    <n v="300"/>
    <x v="13"/>
  </r>
  <r>
    <x v="378"/>
    <x v="57"/>
    <x v="378"/>
    <x v="1"/>
    <x v="16"/>
    <x v="1"/>
    <n v="1"/>
    <n v="25"/>
    <x v="16"/>
  </r>
  <r>
    <x v="379"/>
    <x v="4"/>
    <x v="379"/>
    <x v="0"/>
    <x v="37"/>
    <x v="2"/>
    <n v="2"/>
    <n v="300"/>
    <x v="6"/>
  </r>
  <r>
    <x v="380"/>
    <x v="67"/>
    <x v="380"/>
    <x v="1"/>
    <x v="24"/>
    <x v="1"/>
    <n v="4"/>
    <n v="25"/>
    <x v="4"/>
  </r>
  <r>
    <x v="381"/>
    <x v="232"/>
    <x v="381"/>
    <x v="1"/>
    <x v="45"/>
    <x v="1"/>
    <n v="2"/>
    <n v="500"/>
    <x v="1"/>
  </r>
  <r>
    <x v="382"/>
    <x v="125"/>
    <x v="382"/>
    <x v="1"/>
    <x v="6"/>
    <x v="0"/>
    <n v="3"/>
    <n v="30"/>
    <x v="15"/>
  </r>
  <r>
    <x v="383"/>
    <x v="160"/>
    <x v="383"/>
    <x v="0"/>
    <x v="28"/>
    <x v="1"/>
    <n v="1"/>
    <n v="500"/>
    <x v="3"/>
  </r>
  <r>
    <x v="384"/>
    <x v="233"/>
    <x v="384"/>
    <x v="0"/>
    <x v="2"/>
    <x v="2"/>
    <n v="3"/>
    <n v="500"/>
    <x v="9"/>
  </r>
  <r>
    <x v="385"/>
    <x v="56"/>
    <x v="385"/>
    <x v="1"/>
    <x v="31"/>
    <x v="2"/>
    <n v="2"/>
    <n v="300"/>
    <x v="6"/>
  </r>
  <r>
    <x v="386"/>
    <x v="234"/>
    <x v="386"/>
    <x v="0"/>
    <x v="24"/>
    <x v="0"/>
    <n v="1"/>
    <n v="30"/>
    <x v="2"/>
  </r>
  <r>
    <x v="387"/>
    <x v="235"/>
    <x v="387"/>
    <x v="0"/>
    <x v="2"/>
    <x v="2"/>
    <n v="1"/>
    <n v="25"/>
    <x v="16"/>
  </r>
  <r>
    <x v="388"/>
    <x v="187"/>
    <x v="388"/>
    <x v="0"/>
    <x v="34"/>
    <x v="1"/>
    <n v="2"/>
    <n v="25"/>
    <x v="5"/>
  </r>
  <r>
    <x v="389"/>
    <x v="118"/>
    <x v="389"/>
    <x v="0"/>
    <x v="23"/>
    <x v="2"/>
    <n v="2"/>
    <n v="50"/>
    <x v="4"/>
  </r>
  <r>
    <x v="390"/>
    <x v="228"/>
    <x v="390"/>
    <x v="0"/>
    <x v="14"/>
    <x v="0"/>
    <n v="2"/>
    <n v="25"/>
    <x v="5"/>
  </r>
  <r>
    <x v="391"/>
    <x v="236"/>
    <x v="391"/>
    <x v="0"/>
    <x v="15"/>
    <x v="1"/>
    <n v="2"/>
    <n v="300"/>
    <x v="6"/>
  </r>
  <r>
    <x v="392"/>
    <x v="120"/>
    <x v="392"/>
    <x v="1"/>
    <x v="11"/>
    <x v="0"/>
    <n v="2"/>
    <n v="500"/>
    <x v="1"/>
  </r>
  <r>
    <x v="393"/>
    <x v="226"/>
    <x v="393"/>
    <x v="1"/>
    <x v="15"/>
    <x v="1"/>
    <n v="1"/>
    <n v="500"/>
    <x v="3"/>
  </r>
  <r>
    <x v="394"/>
    <x v="237"/>
    <x v="394"/>
    <x v="0"/>
    <x v="2"/>
    <x v="2"/>
    <n v="2"/>
    <n v="500"/>
    <x v="1"/>
  </r>
  <r>
    <x v="395"/>
    <x v="238"/>
    <x v="395"/>
    <x v="1"/>
    <x v="28"/>
    <x v="0"/>
    <n v="1"/>
    <n v="30"/>
    <x v="2"/>
  </r>
  <r>
    <x v="396"/>
    <x v="239"/>
    <x v="396"/>
    <x v="1"/>
    <x v="4"/>
    <x v="0"/>
    <n v="1"/>
    <n v="25"/>
    <x v="16"/>
  </r>
  <r>
    <x v="397"/>
    <x v="42"/>
    <x v="397"/>
    <x v="1"/>
    <x v="27"/>
    <x v="1"/>
    <n v="2"/>
    <n v="300"/>
    <x v="6"/>
  </r>
  <r>
    <x v="398"/>
    <x v="240"/>
    <x v="398"/>
    <x v="1"/>
    <x v="12"/>
    <x v="0"/>
    <n v="2"/>
    <n v="30"/>
    <x v="17"/>
  </r>
  <r>
    <x v="399"/>
    <x v="130"/>
    <x v="399"/>
    <x v="0"/>
    <x v="45"/>
    <x v="1"/>
    <n v="4"/>
    <n v="50"/>
    <x v="7"/>
  </r>
  <r>
    <x v="400"/>
    <x v="120"/>
    <x v="400"/>
    <x v="1"/>
    <x v="17"/>
    <x v="1"/>
    <n v="1"/>
    <n v="300"/>
    <x v="13"/>
  </r>
  <r>
    <x v="401"/>
    <x v="34"/>
    <x v="401"/>
    <x v="1"/>
    <x v="41"/>
    <x v="1"/>
    <n v="2"/>
    <n v="300"/>
    <x v="6"/>
  </r>
  <r>
    <x v="402"/>
    <x v="241"/>
    <x v="402"/>
    <x v="0"/>
    <x v="40"/>
    <x v="1"/>
    <n v="2"/>
    <n v="300"/>
    <x v="6"/>
  </r>
  <r>
    <x v="403"/>
    <x v="242"/>
    <x v="403"/>
    <x v="0"/>
    <x v="6"/>
    <x v="2"/>
    <n v="2"/>
    <n v="500"/>
    <x v="1"/>
  </r>
  <r>
    <x v="404"/>
    <x v="41"/>
    <x v="404"/>
    <x v="1"/>
    <x v="36"/>
    <x v="1"/>
    <n v="4"/>
    <n v="300"/>
    <x v="14"/>
  </r>
  <r>
    <x v="405"/>
    <x v="69"/>
    <x v="405"/>
    <x v="1"/>
    <x v="11"/>
    <x v="0"/>
    <n v="4"/>
    <n v="25"/>
    <x v="4"/>
  </r>
  <r>
    <x v="406"/>
    <x v="243"/>
    <x v="406"/>
    <x v="1"/>
    <x v="6"/>
    <x v="2"/>
    <n v="3"/>
    <n v="300"/>
    <x v="12"/>
  </r>
  <r>
    <x v="407"/>
    <x v="225"/>
    <x v="407"/>
    <x v="1"/>
    <x v="12"/>
    <x v="0"/>
    <n v="1"/>
    <n v="500"/>
    <x v="3"/>
  </r>
  <r>
    <x v="408"/>
    <x v="244"/>
    <x v="408"/>
    <x v="1"/>
    <x v="34"/>
    <x v="2"/>
    <n v="3"/>
    <n v="300"/>
    <x v="12"/>
  </r>
  <r>
    <x v="409"/>
    <x v="245"/>
    <x v="409"/>
    <x v="1"/>
    <x v="38"/>
    <x v="1"/>
    <n v="2"/>
    <n v="50"/>
    <x v="4"/>
  </r>
  <r>
    <x v="410"/>
    <x v="42"/>
    <x v="410"/>
    <x v="0"/>
    <x v="17"/>
    <x v="2"/>
    <n v="4"/>
    <n v="50"/>
    <x v="7"/>
  </r>
  <r>
    <x v="411"/>
    <x v="18"/>
    <x v="411"/>
    <x v="1"/>
    <x v="14"/>
    <x v="2"/>
    <n v="4"/>
    <n v="500"/>
    <x v="11"/>
  </r>
  <r>
    <x v="412"/>
    <x v="140"/>
    <x v="412"/>
    <x v="1"/>
    <x v="24"/>
    <x v="0"/>
    <n v="3"/>
    <n v="25"/>
    <x v="8"/>
  </r>
  <r>
    <x v="413"/>
    <x v="119"/>
    <x v="413"/>
    <x v="0"/>
    <x v="27"/>
    <x v="0"/>
    <n v="4"/>
    <n v="25"/>
    <x v="4"/>
  </r>
  <r>
    <x v="414"/>
    <x v="246"/>
    <x v="414"/>
    <x v="0"/>
    <x v="45"/>
    <x v="1"/>
    <n v="2"/>
    <n v="30"/>
    <x v="17"/>
  </r>
  <r>
    <x v="415"/>
    <x v="15"/>
    <x v="415"/>
    <x v="0"/>
    <x v="45"/>
    <x v="2"/>
    <n v="4"/>
    <n v="500"/>
    <x v="11"/>
  </r>
  <r>
    <x v="416"/>
    <x v="245"/>
    <x v="416"/>
    <x v="0"/>
    <x v="22"/>
    <x v="2"/>
    <n v="3"/>
    <n v="300"/>
    <x v="12"/>
  </r>
  <r>
    <x v="417"/>
    <x v="12"/>
    <x v="417"/>
    <x v="1"/>
    <x v="43"/>
    <x v="2"/>
    <n v="2"/>
    <n v="500"/>
    <x v="1"/>
  </r>
  <r>
    <x v="418"/>
    <x v="247"/>
    <x v="418"/>
    <x v="1"/>
    <x v="24"/>
    <x v="1"/>
    <n v="3"/>
    <n v="30"/>
    <x v="15"/>
  </r>
  <r>
    <x v="419"/>
    <x v="43"/>
    <x v="419"/>
    <x v="1"/>
    <x v="11"/>
    <x v="1"/>
    <n v="4"/>
    <n v="500"/>
    <x v="11"/>
  </r>
  <r>
    <x v="420"/>
    <x v="126"/>
    <x v="420"/>
    <x v="1"/>
    <x v="3"/>
    <x v="1"/>
    <n v="3"/>
    <n v="500"/>
    <x v="9"/>
  </r>
  <r>
    <x v="421"/>
    <x v="248"/>
    <x v="421"/>
    <x v="1"/>
    <x v="20"/>
    <x v="1"/>
    <n v="3"/>
    <n v="30"/>
    <x v="15"/>
  </r>
  <r>
    <x v="422"/>
    <x v="249"/>
    <x v="422"/>
    <x v="1"/>
    <x v="15"/>
    <x v="1"/>
    <n v="1"/>
    <n v="25"/>
    <x v="16"/>
  </r>
  <r>
    <x v="423"/>
    <x v="250"/>
    <x v="423"/>
    <x v="0"/>
    <x v="35"/>
    <x v="0"/>
    <n v="4"/>
    <n v="300"/>
    <x v="14"/>
  </r>
  <r>
    <x v="424"/>
    <x v="100"/>
    <x v="424"/>
    <x v="1"/>
    <x v="28"/>
    <x v="2"/>
    <n v="4"/>
    <n v="30"/>
    <x v="10"/>
  </r>
  <r>
    <x v="425"/>
    <x v="134"/>
    <x v="425"/>
    <x v="0"/>
    <x v="9"/>
    <x v="2"/>
    <n v="3"/>
    <n v="50"/>
    <x v="0"/>
  </r>
  <r>
    <x v="426"/>
    <x v="196"/>
    <x v="426"/>
    <x v="0"/>
    <x v="36"/>
    <x v="2"/>
    <n v="1"/>
    <n v="25"/>
    <x v="16"/>
  </r>
  <r>
    <x v="427"/>
    <x v="49"/>
    <x v="427"/>
    <x v="1"/>
    <x v="30"/>
    <x v="2"/>
    <n v="4"/>
    <n v="50"/>
    <x v="7"/>
  </r>
  <r>
    <x v="428"/>
    <x v="251"/>
    <x v="428"/>
    <x v="0"/>
    <x v="12"/>
    <x v="2"/>
    <n v="2"/>
    <n v="25"/>
    <x v="5"/>
  </r>
  <r>
    <x v="429"/>
    <x v="252"/>
    <x v="429"/>
    <x v="1"/>
    <x v="22"/>
    <x v="2"/>
    <n v="3"/>
    <n v="300"/>
    <x v="12"/>
  </r>
  <r>
    <x v="430"/>
    <x v="21"/>
    <x v="430"/>
    <x v="0"/>
    <x v="7"/>
    <x v="2"/>
    <n v="4"/>
    <n v="300"/>
    <x v="14"/>
  </r>
  <r>
    <x v="431"/>
    <x v="228"/>
    <x v="431"/>
    <x v="1"/>
    <x v="43"/>
    <x v="2"/>
    <n v="2"/>
    <n v="500"/>
    <x v="1"/>
  </r>
  <r>
    <x v="432"/>
    <x v="1"/>
    <x v="432"/>
    <x v="0"/>
    <x v="38"/>
    <x v="0"/>
    <n v="4"/>
    <n v="50"/>
    <x v="7"/>
  </r>
  <r>
    <x v="433"/>
    <x v="195"/>
    <x v="433"/>
    <x v="1"/>
    <x v="22"/>
    <x v="2"/>
    <n v="2"/>
    <n v="25"/>
    <x v="5"/>
  </r>
  <r>
    <x v="434"/>
    <x v="156"/>
    <x v="434"/>
    <x v="1"/>
    <x v="4"/>
    <x v="0"/>
    <n v="3"/>
    <n v="300"/>
    <x v="12"/>
  </r>
  <r>
    <x v="435"/>
    <x v="253"/>
    <x v="435"/>
    <x v="1"/>
    <x v="35"/>
    <x v="1"/>
    <n v="4"/>
    <n v="30"/>
    <x v="10"/>
  </r>
  <r>
    <x v="436"/>
    <x v="9"/>
    <x v="436"/>
    <x v="1"/>
    <x v="10"/>
    <x v="2"/>
    <n v="4"/>
    <n v="300"/>
    <x v="14"/>
  </r>
  <r>
    <x v="437"/>
    <x v="254"/>
    <x v="437"/>
    <x v="1"/>
    <x v="13"/>
    <x v="1"/>
    <n v="1"/>
    <n v="30"/>
    <x v="2"/>
  </r>
  <r>
    <x v="438"/>
    <x v="67"/>
    <x v="438"/>
    <x v="0"/>
    <x v="2"/>
    <x v="1"/>
    <n v="3"/>
    <n v="25"/>
    <x v="8"/>
  </r>
  <r>
    <x v="439"/>
    <x v="103"/>
    <x v="439"/>
    <x v="0"/>
    <x v="12"/>
    <x v="1"/>
    <n v="2"/>
    <n v="300"/>
    <x v="6"/>
  </r>
  <r>
    <x v="440"/>
    <x v="49"/>
    <x v="440"/>
    <x v="0"/>
    <x v="35"/>
    <x v="0"/>
    <n v="4"/>
    <n v="300"/>
    <x v="14"/>
  </r>
  <r>
    <x v="441"/>
    <x v="255"/>
    <x v="441"/>
    <x v="1"/>
    <x v="43"/>
    <x v="1"/>
    <n v="4"/>
    <n v="25"/>
    <x v="4"/>
  </r>
  <r>
    <x v="442"/>
    <x v="183"/>
    <x v="442"/>
    <x v="0"/>
    <x v="38"/>
    <x v="1"/>
    <n v="2"/>
    <n v="300"/>
    <x v="6"/>
  </r>
  <r>
    <x v="443"/>
    <x v="150"/>
    <x v="443"/>
    <x v="1"/>
    <x v="39"/>
    <x v="1"/>
    <n v="3"/>
    <n v="30"/>
    <x v="15"/>
  </r>
  <r>
    <x v="444"/>
    <x v="256"/>
    <x v="444"/>
    <x v="1"/>
    <x v="45"/>
    <x v="2"/>
    <n v="1"/>
    <n v="300"/>
    <x v="13"/>
  </r>
  <r>
    <x v="445"/>
    <x v="142"/>
    <x v="445"/>
    <x v="0"/>
    <x v="34"/>
    <x v="2"/>
    <n v="1"/>
    <n v="50"/>
    <x v="5"/>
  </r>
  <r>
    <x v="446"/>
    <x v="65"/>
    <x v="446"/>
    <x v="0"/>
    <x v="11"/>
    <x v="0"/>
    <n v="4"/>
    <n v="500"/>
    <x v="11"/>
  </r>
  <r>
    <x v="447"/>
    <x v="219"/>
    <x v="447"/>
    <x v="1"/>
    <x v="31"/>
    <x v="0"/>
    <n v="2"/>
    <n v="30"/>
    <x v="17"/>
  </r>
  <r>
    <x v="448"/>
    <x v="39"/>
    <x v="448"/>
    <x v="0"/>
    <x v="36"/>
    <x v="2"/>
    <n v="4"/>
    <n v="50"/>
    <x v="7"/>
  </r>
  <r>
    <x v="449"/>
    <x v="69"/>
    <x v="449"/>
    <x v="1"/>
    <x v="42"/>
    <x v="0"/>
    <n v="2"/>
    <n v="25"/>
    <x v="5"/>
  </r>
  <r>
    <x v="450"/>
    <x v="72"/>
    <x v="450"/>
    <x v="1"/>
    <x v="5"/>
    <x v="2"/>
    <n v="1"/>
    <n v="30"/>
    <x v="2"/>
  </r>
  <r>
    <x v="451"/>
    <x v="193"/>
    <x v="451"/>
    <x v="1"/>
    <x v="27"/>
    <x v="1"/>
    <n v="3"/>
    <n v="500"/>
    <x v="9"/>
  </r>
  <r>
    <x v="452"/>
    <x v="236"/>
    <x v="452"/>
    <x v="1"/>
    <x v="1"/>
    <x v="1"/>
    <n v="2"/>
    <n v="500"/>
    <x v="1"/>
  </r>
  <r>
    <x v="453"/>
    <x v="7"/>
    <x v="453"/>
    <x v="1"/>
    <x v="6"/>
    <x v="0"/>
    <n v="1"/>
    <n v="25"/>
    <x v="16"/>
  </r>
  <r>
    <x v="454"/>
    <x v="68"/>
    <x v="454"/>
    <x v="0"/>
    <x v="33"/>
    <x v="2"/>
    <n v="4"/>
    <n v="25"/>
    <x v="4"/>
  </r>
  <r>
    <x v="455"/>
    <x v="257"/>
    <x v="455"/>
    <x v="0"/>
    <x v="35"/>
    <x v="2"/>
    <n v="2"/>
    <n v="30"/>
    <x v="17"/>
  </r>
  <r>
    <x v="456"/>
    <x v="180"/>
    <x v="456"/>
    <x v="1"/>
    <x v="26"/>
    <x v="0"/>
    <n v="3"/>
    <n v="300"/>
    <x v="12"/>
  </r>
  <r>
    <x v="457"/>
    <x v="220"/>
    <x v="457"/>
    <x v="1"/>
    <x v="23"/>
    <x v="2"/>
    <n v="4"/>
    <n v="25"/>
    <x v="4"/>
  </r>
  <r>
    <x v="458"/>
    <x v="34"/>
    <x v="458"/>
    <x v="0"/>
    <x v="20"/>
    <x v="1"/>
    <n v="4"/>
    <n v="300"/>
    <x v="14"/>
  </r>
  <r>
    <x v="459"/>
    <x v="173"/>
    <x v="459"/>
    <x v="0"/>
    <x v="30"/>
    <x v="0"/>
    <n v="1"/>
    <n v="50"/>
    <x v="5"/>
  </r>
  <r>
    <x v="460"/>
    <x v="66"/>
    <x v="460"/>
    <x v="1"/>
    <x v="18"/>
    <x v="0"/>
    <n v="2"/>
    <n v="500"/>
    <x v="1"/>
  </r>
  <r>
    <x v="461"/>
    <x v="258"/>
    <x v="461"/>
    <x v="0"/>
    <x v="7"/>
    <x v="2"/>
    <n v="4"/>
    <n v="300"/>
    <x v="14"/>
  </r>
  <r>
    <x v="462"/>
    <x v="259"/>
    <x v="462"/>
    <x v="1"/>
    <x v="31"/>
    <x v="0"/>
    <n v="3"/>
    <n v="500"/>
    <x v="9"/>
  </r>
  <r>
    <x v="463"/>
    <x v="2"/>
    <x v="463"/>
    <x v="0"/>
    <x v="21"/>
    <x v="2"/>
    <n v="2"/>
    <n v="300"/>
    <x v="6"/>
  </r>
  <r>
    <x v="464"/>
    <x v="128"/>
    <x v="464"/>
    <x v="1"/>
    <x v="22"/>
    <x v="2"/>
    <n v="3"/>
    <n v="50"/>
    <x v="0"/>
  </r>
  <r>
    <x v="465"/>
    <x v="248"/>
    <x v="465"/>
    <x v="0"/>
    <x v="7"/>
    <x v="2"/>
    <n v="4"/>
    <n v="25"/>
    <x v="4"/>
  </r>
  <r>
    <x v="466"/>
    <x v="184"/>
    <x v="466"/>
    <x v="1"/>
    <x v="45"/>
    <x v="2"/>
    <n v="3"/>
    <n v="50"/>
    <x v="0"/>
  </r>
  <r>
    <x v="467"/>
    <x v="174"/>
    <x v="467"/>
    <x v="0"/>
    <x v="30"/>
    <x v="2"/>
    <n v="1"/>
    <n v="25"/>
    <x v="16"/>
  </r>
  <r>
    <x v="468"/>
    <x v="193"/>
    <x v="468"/>
    <x v="0"/>
    <x v="18"/>
    <x v="0"/>
    <n v="3"/>
    <n v="25"/>
    <x v="8"/>
  </r>
  <r>
    <x v="469"/>
    <x v="71"/>
    <x v="469"/>
    <x v="1"/>
    <x v="35"/>
    <x v="1"/>
    <n v="2"/>
    <n v="500"/>
    <x v="1"/>
  </r>
  <r>
    <x v="470"/>
    <x v="31"/>
    <x v="470"/>
    <x v="0"/>
    <x v="40"/>
    <x v="1"/>
    <n v="3"/>
    <n v="50"/>
    <x v="0"/>
  </r>
  <r>
    <x v="471"/>
    <x v="24"/>
    <x v="471"/>
    <x v="1"/>
    <x v="21"/>
    <x v="0"/>
    <n v="3"/>
    <n v="300"/>
    <x v="12"/>
  </r>
  <r>
    <x v="472"/>
    <x v="192"/>
    <x v="472"/>
    <x v="0"/>
    <x v="12"/>
    <x v="0"/>
    <n v="1"/>
    <n v="50"/>
    <x v="5"/>
  </r>
  <r>
    <x v="473"/>
    <x v="116"/>
    <x v="473"/>
    <x v="1"/>
    <x v="1"/>
    <x v="1"/>
    <n v="3"/>
    <n v="500"/>
    <x v="9"/>
  </r>
  <r>
    <x v="474"/>
    <x v="260"/>
    <x v="474"/>
    <x v="0"/>
    <x v="1"/>
    <x v="1"/>
    <n v="3"/>
    <n v="25"/>
    <x v="8"/>
  </r>
  <r>
    <x v="475"/>
    <x v="261"/>
    <x v="475"/>
    <x v="1"/>
    <x v="15"/>
    <x v="1"/>
    <n v="4"/>
    <n v="500"/>
    <x v="11"/>
  </r>
  <r>
    <x v="476"/>
    <x v="262"/>
    <x v="476"/>
    <x v="0"/>
    <x v="22"/>
    <x v="1"/>
    <n v="4"/>
    <n v="30"/>
    <x v="10"/>
  </r>
  <r>
    <x v="477"/>
    <x v="157"/>
    <x v="477"/>
    <x v="1"/>
    <x v="26"/>
    <x v="1"/>
    <n v="2"/>
    <n v="30"/>
    <x v="17"/>
  </r>
  <r>
    <x v="478"/>
    <x v="44"/>
    <x v="478"/>
    <x v="0"/>
    <x v="8"/>
    <x v="2"/>
    <n v="4"/>
    <n v="300"/>
    <x v="14"/>
  </r>
  <r>
    <x v="479"/>
    <x v="263"/>
    <x v="479"/>
    <x v="1"/>
    <x v="13"/>
    <x v="0"/>
    <n v="4"/>
    <n v="500"/>
    <x v="11"/>
  </r>
  <r>
    <x v="480"/>
    <x v="264"/>
    <x v="480"/>
    <x v="1"/>
    <x v="22"/>
    <x v="2"/>
    <n v="4"/>
    <n v="300"/>
    <x v="14"/>
  </r>
  <r>
    <x v="481"/>
    <x v="60"/>
    <x v="481"/>
    <x v="1"/>
    <x v="20"/>
    <x v="1"/>
    <n v="4"/>
    <n v="300"/>
    <x v="14"/>
  </r>
  <r>
    <x v="482"/>
    <x v="5"/>
    <x v="482"/>
    <x v="0"/>
    <x v="28"/>
    <x v="1"/>
    <n v="1"/>
    <n v="30"/>
    <x v="2"/>
  </r>
  <r>
    <x v="483"/>
    <x v="2"/>
    <x v="483"/>
    <x v="1"/>
    <x v="14"/>
    <x v="1"/>
    <n v="4"/>
    <n v="300"/>
    <x v="14"/>
  </r>
  <r>
    <x v="484"/>
    <x v="151"/>
    <x v="484"/>
    <x v="0"/>
    <x v="46"/>
    <x v="2"/>
    <n v="1"/>
    <n v="30"/>
    <x v="2"/>
  </r>
  <r>
    <x v="485"/>
    <x v="55"/>
    <x v="485"/>
    <x v="1"/>
    <x v="10"/>
    <x v="2"/>
    <n v="1"/>
    <n v="25"/>
    <x v="16"/>
  </r>
  <r>
    <x v="486"/>
    <x v="104"/>
    <x v="486"/>
    <x v="0"/>
    <x v="24"/>
    <x v="1"/>
    <n v="4"/>
    <n v="500"/>
    <x v="11"/>
  </r>
  <r>
    <x v="487"/>
    <x v="265"/>
    <x v="487"/>
    <x v="1"/>
    <x v="25"/>
    <x v="2"/>
    <n v="3"/>
    <n v="300"/>
    <x v="12"/>
  </r>
  <r>
    <x v="488"/>
    <x v="29"/>
    <x v="488"/>
    <x v="0"/>
    <x v="24"/>
    <x v="2"/>
    <n v="1"/>
    <n v="30"/>
    <x v="2"/>
  </r>
  <r>
    <x v="489"/>
    <x v="57"/>
    <x v="489"/>
    <x v="0"/>
    <x v="0"/>
    <x v="1"/>
    <n v="3"/>
    <n v="50"/>
    <x v="0"/>
  </r>
  <r>
    <x v="490"/>
    <x v="29"/>
    <x v="490"/>
    <x v="1"/>
    <x v="43"/>
    <x v="2"/>
    <n v="3"/>
    <n v="300"/>
    <x v="12"/>
  </r>
  <r>
    <x v="491"/>
    <x v="263"/>
    <x v="491"/>
    <x v="0"/>
    <x v="39"/>
    <x v="0"/>
    <n v="4"/>
    <n v="25"/>
    <x v="4"/>
  </r>
  <r>
    <x v="492"/>
    <x v="123"/>
    <x v="492"/>
    <x v="0"/>
    <x v="41"/>
    <x v="0"/>
    <n v="2"/>
    <n v="25"/>
    <x v="5"/>
  </r>
  <r>
    <x v="493"/>
    <x v="106"/>
    <x v="493"/>
    <x v="1"/>
    <x v="13"/>
    <x v="0"/>
    <n v="4"/>
    <n v="50"/>
    <x v="7"/>
  </r>
  <r>
    <x v="494"/>
    <x v="104"/>
    <x v="494"/>
    <x v="0"/>
    <x v="46"/>
    <x v="0"/>
    <n v="2"/>
    <n v="30"/>
    <x v="17"/>
  </r>
  <r>
    <x v="495"/>
    <x v="266"/>
    <x v="495"/>
    <x v="0"/>
    <x v="9"/>
    <x v="1"/>
    <n v="2"/>
    <n v="300"/>
    <x v="6"/>
  </r>
  <r>
    <x v="496"/>
    <x v="45"/>
    <x v="496"/>
    <x v="0"/>
    <x v="41"/>
    <x v="1"/>
    <n v="4"/>
    <n v="30"/>
    <x v="10"/>
  </r>
  <r>
    <x v="497"/>
    <x v="171"/>
    <x v="497"/>
    <x v="1"/>
    <x v="2"/>
    <x v="1"/>
    <n v="4"/>
    <n v="25"/>
    <x v="4"/>
  </r>
  <r>
    <x v="498"/>
    <x v="267"/>
    <x v="498"/>
    <x v="0"/>
    <x v="6"/>
    <x v="0"/>
    <n v="2"/>
    <n v="30"/>
    <x v="17"/>
  </r>
  <r>
    <x v="499"/>
    <x v="240"/>
    <x v="499"/>
    <x v="1"/>
    <x v="43"/>
    <x v="0"/>
    <n v="4"/>
    <n v="25"/>
    <x v="4"/>
  </r>
  <r>
    <x v="500"/>
    <x v="224"/>
    <x v="500"/>
    <x v="0"/>
    <x v="23"/>
    <x v="2"/>
    <n v="2"/>
    <n v="30"/>
    <x v="17"/>
  </r>
  <r>
    <x v="501"/>
    <x v="128"/>
    <x v="501"/>
    <x v="0"/>
    <x v="22"/>
    <x v="2"/>
    <n v="3"/>
    <n v="50"/>
    <x v="0"/>
  </r>
  <r>
    <x v="502"/>
    <x v="268"/>
    <x v="502"/>
    <x v="0"/>
    <x v="5"/>
    <x v="0"/>
    <n v="4"/>
    <n v="500"/>
    <x v="11"/>
  </r>
  <r>
    <x v="503"/>
    <x v="42"/>
    <x v="503"/>
    <x v="1"/>
    <x v="21"/>
    <x v="0"/>
    <n v="3"/>
    <n v="50"/>
    <x v="0"/>
  </r>
  <r>
    <x v="504"/>
    <x v="260"/>
    <x v="504"/>
    <x v="0"/>
    <x v="46"/>
    <x v="0"/>
    <n v="1"/>
    <n v="50"/>
    <x v="5"/>
  </r>
  <r>
    <x v="505"/>
    <x v="192"/>
    <x v="505"/>
    <x v="0"/>
    <x v="0"/>
    <x v="0"/>
    <n v="3"/>
    <n v="500"/>
    <x v="9"/>
  </r>
  <r>
    <x v="506"/>
    <x v="113"/>
    <x v="506"/>
    <x v="1"/>
    <x v="3"/>
    <x v="2"/>
    <n v="3"/>
    <n v="500"/>
    <x v="9"/>
  </r>
  <r>
    <x v="507"/>
    <x v="124"/>
    <x v="507"/>
    <x v="0"/>
    <x v="26"/>
    <x v="0"/>
    <n v="2"/>
    <n v="300"/>
    <x v="6"/>
  </r>
  <r>
    <x v="508"/>
    <x v="40"/>
    <x v="508"/>
    <x v="1"/>
    <x v="3"/>
    <x v="2"/>
    <n v="3"/>
    <n v="300"/>
    <x v="12"/>
  </r>
  <r>
    <x v="509"/>
    <x v="210"/>
    <x v="509"/>
    <x v="1"/>
    <x v="23"/>
    <x v="0"/>
    <n v="4"/>
    <n v="50"/>
    <x v="7"/>
  </r>
  <r>
    <x v="510"/>
    <x v="269"/>
    <x v="510"/>
    <x v="0"/>
    <x v="5"/>
    <x v="0"/>
    <n v="2"/>
    <n v="50"/>
    <x v="4"/>
  </r>
  <r>
    <x v="511"/>
    <x v="155"/>
    <x v="511"/>
    <x v="1"/>
    <x v="35"/>
    <x v="0"/>
    <n v="1"/>
    <n v="25"/>
    <x v="16"/>
  </r>
  <r>
    <x v="512"/>
    <x v="270"/>
    <x v="512"/>
    <x v="0"/>
    <x v="46"/>
    <x v="2"/>
    <n v="4"/>
    <n v="25"/>
    <x v="4"/>
  </r>
  <r>
    <x v="513"/>
    <x v="240"/>
    <x v="513"/>
    <x v="1"/>
    <x v="18"/>
    <x v="2"/>
    <n v="1"/>
    <n v="300"/>
    <x v="13"/>
  </r>
  <r>
    <x v="514"/>
    <x v="115"/>
    <x v="514"/>
    <x v="1"/>
    <x v="19"/>
    <x v="1"/>
    <n v="3"/>
    <n v="300"/>
    <x v="12"/>
  </r>
  <r>
    <x v="515"/>
    <x v="54"/>
    <x v="515"/>
    <x v="0"/>
    <x v="4"/>
    <x v="0"/>
    <n v="4"/>
    <n v="25"/>
    <x v="4"/>
  </r>
  <r>
    <x v="516"/>
    <x v="181"/>
    <x v="516"/>
    <x v="1"/>
    <x v="16"/>
    <x v="1"/>
    <n v="4"/>
    <n v="25"/>
    <x v="4"/>
  </r>
  <r>
    <x v="517"/>
    <x v="271"/>
    <x v="517"/>
    <x v="1"/>
    <x v="30"/>
    <x v="1"/>
    <n v="1"/>
    <n v="30"/>
    <x v="2"/>
  </r>
  <r>
    <x v="518"/>
    <x v="43"/>
    <x v="518"/>
    <x v="1"/>
    <x v="32"/>
    <x v="2"/>
    <n v="4"/>
    <n v="30"/>
    <x v="10"/>
  </r>
  <r>
    <x v="519"/>
    <x v="167"/>
    <x v="519"/>
    <x v="1"/>
    <x v="19"/>
    <x v="2"/>
    <n v="4"/>
    <n v="25"/>
    <x v="4"/>
  </r>
  <r>
    <x v="520"/>
    <x v="269"/>
    <x v="520"/>
    <x v="1"/>
    <x v="16"/>
    <x v="1"/>
    <n v="4"/>
    <n v="30"/>
    <x v="10"/>
  </r>
  <r>
    <x v="521"/>
    <x v="137"/>
    <x v="521"/>
    <x v="0"/>
    <x v="6"/>
    <x v="0"/>
    <n v="3"/>
    <n v="500"/>
    <x v="9"/>
  </r>
  <r>
    <x v="522"/>
    <x v="272"/>
    <x v="522"/>
    <x v="1"/>
    <x v="17"/>
    <x v="2"/>
    <n v="1"/>
    <n v="300"/>
    <x v="13"/>
  </r>
  <r>
    <x v="523"/>
    <x v="99"/>
    <x v="523"/>
    <x v="0"/>
    <x v="6"/>
    <x v="0"/>
    <n v="4"/>
    <n v="300"/>
    <x v="14"/>
  </r>
  <r>
    <x v="524"/>
    <x v="244"/>
    <x v="524"/>
    <x v="1"/>
    <x v="16"/>
    <x v="0"/>
    <n v="2"/>
    <n v="25"/>
    <x v="5"/>
  </r>
  <r>
    <x v="525"/>
    <x v="70"/>
    <x v="525"/>
    <x v="0"/>
    <x v="44"/>
    <x v="1"/>
    <n v="2"/>
    <n v="50"/>
    <x v="4"/>
  </r>
  <r>
    <x v="526"/>
    <x v="273"/>
    <x v="526"/>
    <x v="0"/>
    <x v="35"/>
    <x v="1"/>
    <n v="2"/>
    <n v="25"/>
    <x v="5"/>
  </r>
  <r>
    <x v="527"/>
    <x v="65"/>
    <x v="527"/>
    <x v="1"/>
    <x v="32"/>
    <x v="1"/>
    <n v="2"/>
    <n v="30"/>
    <x v="17"/>
  </r>
  <r>
    <x v="528"/>
    <x v="183"/>
    <x v="528"/>
    <x v="1"/>
    <x v="10"/>
    <x v="1"/>
    <n v="3"/>
    <n v="50"/>
    <x v="0"/>
  </r>
  <r>
    <x v="529"/>
    <x v="57"/>
    <x v="529"/>
    <x v="1"/>
    <x v="18"/>
    <x v="2"/>
    <n v="4"/>
    <n v="30"/>
    <x v="10"/>
  </r>
  <r>
    <x v="530"/>
    <x v="274"/>
    <x v="530"/>
    <x v="0"/>
    <x v="33"/>
    <x v="2"/>
    <n v="1"/>
    <n v="500"/>
    <x v="3"/>
  </r>
  <r>
    <x v="531"/>
    <x v="171"/>
    <x v="531"/>
    <x v="1"/>
    <x v="12"/>
    <x v="1"/>
    <n v="4"/>
    <n v="30"/>
    <x v="10"/>
  </r>
  <r>
    <x v="532"/>
    <x v="275"/>
    <x v="532"/>
    <x v="0"/>
    <x v="14"/>
    <x v="2"/>
    <n v="3"/>
    <n v="500"/>
    <x v="9"/>
  </r>
  <r>
    <x v="533"/>
    <x v="210"/>
    <x v="533"/>
    <x v="0"/>
    <x v="5"/>
    <x v="1"/>
    <n v="2"/>
    <n v="500"/>
    <x v="1"/>
  </r>
  <r>
    <x v="534"/>
    <x v="237"/>
    <x v="534"/>
    <x v="0"/>
    <x v="16"/>
    <x v="0"/>
    <n v="3"/>
    <n v="30"/>
    <x v="15"/>
  </r>
  <r>
    <x v="535"/>
    <x v="46"/>
    <x v="535"/>
    <x v="1"/>
    <x v="28"/>
    <x v="0"/>
    <n v="4"/>
    <n v="30"/>
    <x v="10"/>
  </r>
  <r>
    <x v="536"/>
    <x v="226"/>
    <x v="536"/>
    <x v="1"/>
    <x v="34"/>
    <x v="0"/>
    <n v="1"/>
    <n v="500"/>
    <x v="3"/>
  </r>
  <r>
    <x v="537"/>
    <x v="129"/>
    <x v="537"/>
    <x v="0"/>
    <x v="18"/>
    <x v="1"/>
    <n v="3"/>
    <n v="50"/>
    <x v="0"/>
  </r>
  <r>
    <x v="538"/>
    <x v="276"/>
    <x v="538"/>
    <x v="0"/>
    <x v="36"/>
    <x v="0"/>
    <n v="1"/>
    <n v="500"/>
    <x v="3"/>
  </r>
  <r>
    <x v="539"/>
    <x v="236"/>
    <x v="539"/>
    <x v="1"/>
    <x v="6"/>
    <x v="2"/>
    <n v="3"/>
    <n v="300"/>
    <x v="12"/>
  </r>
  <r>
    <x v="540"/>
    <x v="277"/>
    <x v="540"/>
    <x v="0"/>
    <x v="37"/>
    <x v="0"/>
    <n v="1"/>
    <n v="500"/>
    <x v="3"/>
  </r>
  <r>
    <x v="541"/>
    <x v="278"/>
    <x v="541"/>
    <x v="1"/>
    <x v="29"/>
    <x v="0"/>
    <n v="1"/>
    <n v="50"/>
    <x v="5"/>
  </r>
  <r>
    <x v="542"/>
    <x v="191"/>
    <x v="542"/>
    <x v="0"/>
    <x v="19"/>
    <x v="0"/>
    <n v="2"/>
    <n v="300"/>
    <x v="6"/>
  </r>
  <r>
    <x v="543"/>
    <x v="204"/>
    <x v="543"/>
    <x v="1"/>
    <x v="15"/>
    <x v="2"/>
    <n v="1"/>
    <n v="25"/>
    <x v="16"/>
  </r>
  <r>
    <x v="544"/>
    <x v="207"/>
    <x v="544"/>
    <x v="0"/>
    <x v="15"/>
    <x v="1"/>
    <n v="2"/>
    <n v="25"/>
    <x v="5"/>
  </r>
  <r>
    <x v="545"/>
    <x v="120"/>
    <x v="545"/>
    <x v="1"/>
    <x v="32"/>
    <x v="2"/>
    <n v="4"/>
    <n v="50"/>
    <x v="7"/>
  </r>
  <r>
    <x v="546"/>
    <x v="150"/>
    <x v="546"/>
    <x v="0"/>
    <x v="7"/>
    <x v="1"/>
    <n v="4"/>
    <n v="500"/>
    <x v="11"/>
  </r>
  <r>
    <x v="547"/>
    <x v="55"/>
    <x v="547"/>
    <x v="1"/>
    <x v="25"/>
    <x v="1"/>
    <n v="2"/>
    <n v="30"/>
    <x v="17"/>
  </r>
  <r>
    <x v="548"/>
    <x v="279"/>
    <x v="548"/>
    <x v="1"/>
    <x v="2"/>
    <x v="0"/>
    <n v="2"/>
    <n v="50"/>
    <x v="4"/>
  </r>
  <r>
    <x v="549"/>
    <x v="274"/>
    <x v="549"/>
    <x v="0"/>
    <x v="30"/>
    <x v="1"/>
    <n v="3"/>
    <n v="300"/>
    <x v="12"/>
  </r>
  <r>
    <x v="550"/>
    <x v="37"/>
    <x v="550"/>
    <x v="0"/>
    <x v="5"/>
    <x v="2"/>
    <n v="3"/>
    <n v="300"/>
    <x v="12"/>
  </r>
  <r>
    <x v="551"/>
    <x v="8"/>
    <x v="551"/>
    <x v="1"/>
    <x v="19"/>
    <x v="2"/>
    <n v="3"/>
    <n v="25"/>
    <x v="8"/>
  </r>
  <r>
    <x v="552"/>
    <x v="280"/>
    <x v="552"/>
    <x v="0"/>
    <x v="46"/>
    <x v="1"/>
    <n v="4"/>
    <n v="300"/>
    <x v="14"/>
  </r>
  <r>
    <x v="553"/>
    <x v="281"/>
    <x v="553"/>
    <x v="1"/>
    <x v="6"/>
    <x v="0"/>
    <n v="3"/>
    <n v="50"/>
    <x v="0"/>
  </r>
  <r>
    <x v="554"/>
    <x v="218"/>
    <x v="554"/>
    <x v="0"/>
    <x v="36"/>
    <x v="0"/>
    <n v="1"/>
    <n v="300"/>
    <x v="13"/>
  </r>
  <r>
    <x v="555"/>
    <x v="234"/>
    <x v="555"/>
    <x v="1"/>
    <x v="18"/>
    <x v="2"/>
    <n v="1"/>
    <n v="50"/>
    <x v="5"/>
  </r>
  <r>
    <x v="556"/>
    <x v="282"/>
    <x v="556"/>
    <x v="1"/>
    <x v="29"/>
    <x v="0"/>
    <n v="3"/>
    <n v="30"/>
    <x v="15"/>
  </r>
  <r>
    <x v="557"/>
    <x v="283"/>
    <x v="557"/>
    <x v="1"/>
    <x v="41"/>
    <x v="1"/>
    <n v="1"/>
    <n v="25"/>
    <x v="16"/>
  </r>
  <r>
    <x v="558"/>
    <x v="137"/>
    <x v="558"/>
    <x v="1"/>
    <x v="30"/>
    <x v="1"/>
    <n v="4"/>
    <n v="300"/>
    <x v="14"/>
  </r>
  <r>
    <x v="559"/>
    <x v="284"/>
    <x v="559"/>
    <x v="1"/>
    <x v="36"/>
    <x v="2"/>
    <n v="1"/>
    <n v="50"/>
    <x v="5"/>
  </r>
  <r>
    <x v="560"/>
    <x v="203"/>
    <x v="560"/>
    <x v="1"/>
    <x v="12"/>
    <x v="1"/>
    <n v="4"/>
    <n v="500"/>
    <x v="11"/>
  </r>
  <r>
    <x v="561"/>
    <x v="69"/>
    <x v="561"/>
    <x v="0"/>
    <x v="31"/>
    <x v="2"/>
    <n v="2"/>
    <n v="25"/>
    <x v="5"/>
  </r>
  <r>
    <x v="562"/>
    <x v="183"/>
    <x v="562"/>
    <x v="0"/>
    <x v="29"/>
    <x v="1"/>
    <n v="2"/>
    <n v="30"/>
    <x v="17"/>
  </r>
  <r>
    <x v="563"/>
    <x v="208"/>
    <x v="563"/>
    <x v="0"/>
    <x v="2"/>
    <x v="2"/>
    <n v="2"/>
    <n v="50"/>
    <x v="4"/>
  </r>
  <r>
    <x v="564"/>
    <x v="155"/>
    <x v="564"/>
    <x v="1"/>
    <x v="5"/>
    <x v="0"/>
    <n v="2"/>
    <n v="30"/>
    <x v="17"/>
  </r>
  <r>
    <x v="565"/>
    <x v="92"/>
    <x v="565"/>
    <x v="1"/>
    <x v="12"/>
    <x v="1"/>
    <n v="1"/>
    <n v="30"/>
    <x v="2"/>
  </r>
  <r>
    <x v="566"/>
    <x v="285"/>
    <x v="566"/>
    <x v="1"/>
    <x v="36"/>
    <x v="1"/>
    <n v="3"/>
    <n v="300"/>
    <x v="12"/>
  </r>
  <r>
    <x v="567"/>
    <x v="286"/>
    <x v="567"/>
    <x v="1"/>
    <x v="25"/>
    <x v="2"/>
    <n v="1"/>
    <n v="300"/>
    <x v="13"/>
  </r>
  <r>
    <x v="568"/>
    <x v="196"/>
    <x v="568"/>
    <x v="0"/>
    <x v="8"/>
    <x v="2"/>
    <n v="4"/>
    <n v="50"/>
    <x v="7"/>
  </r>
  <r>
    <x v="569"/>
    <x v="196"/>
    <x v="569"/>
    <x v="0"/>
    <x v="19"/>
    <x v="1"/>
    <n v="1"/>
    <n v="500"/>
    <x v="3"/>
  </r>
  <r>
    <x v="570"/>
    <x v="216"/>
    <x v="570"/>
    <x v="1"/>
    <x v="41"/>
    <x v="2"/>
    <n v="1"/>
    <n v="50"/>
    <x v="5"/>
  </r>
  <r>
    <x v="571"/>
    <x v="175"/>
    <x v="571"/>
    <x v="0"/>
    <x v="33"/>
    <x v="1"/>
    <n v="4"/>
    <n v="500"/>
    <x v="11"/>
  </r>
  <r>
    <x v="572"/>
    <x v="270"/>
    <x v="572"/>
    <x v="0"/>
    <x v="19"/>
    <x v="0"/>
    <n v="2"/>
    <n v="30"/>
    <x v="17"/>
  </r>
  <r>
    <x v="573"/>
    <x v="178"/>
    <x v="573"/>
    <x v="1"/>
    <x v="7"/>
    <x v="2"/>
    <n v="2"/>
    <n v="25"/>
    <x v="5"/>
  </r>
  <r>
    <x v="574"/>
    <x v="287"/>
    <x v="574"/>
    <x v="0"/>
    <x v="43"/>
    <x v="1"/>
    <n v="2"/>
    <n v="50"/>
    <x v="4"/>
  </r>
  <r>
    <x v="575"/>
    <x v="151"/>
    <x v="575"/>
    <x v="1"/>
    <x v="44"/>
    <x v="0"/>
    <n v="3"/>
    <n v="50"/>
    <x v="0"/>
  </r>
  <r>
    <x v="576"/>
    <x v="146"/>
    <x v="576"/>
    <x v="0"/>
    <x v="34"/>
    <x v="0"/>
    <n v="4"/>
    <n v="500"/>
    <x v="11"/>
  </r>
  <r>
    <x v="577"/>
    <x v="232"/>
    <x v="577"/>
    <x v="1"/>
    <x v="31"/>
    <x v="1"/>
    <n v="4"/>
    <n v="30"/>
    <x v="10"/>
  </r>
  <r>
    <x v="578"/>
    <x v="172"/>
    <x v="578"/>
    <x v="1"/>
    <x v="21"/>
    <x v="2"/>
    <n v="1"/>
    <n v="30"/>
    <x v="2"/>
  </r>
  <r>
    <x v="579"/>
    <x v="237"/>
    <x v="579"/>
    <x v="1"/>
    <x v="33"/>
    <x v="1"/>
    <n v="3"/>
    <n v="500"/>
    <x v="9"/>
  </r>
  <r>
    <x v="580"/>
    <x v="245"/>
    <x v="580"/>
    <x v="1"/>
    <x v="27"/>
    <x v="0"/>
    <n v="2"/>
    <n v="30"/>
    <x v="17"/>
  </r>
  <r>
    <x v="581"/>
    <x v="220"/>
    <x v="581"/>
    <x v="0"/>
    <x v="10"/>
    <x v="1"/>
    <n v="3"/>
    <n v="300"/>
    <x v="12"/>
  </r>
  <r>
    <x v="582"/>
    <x v="288"/>
    <x v="582"/>
    <x v="1"/>
    <x v="46"/>
    <x v="2"/>
    <n v="4"/>
    <n v="25"/>
    <x v="4"/>
  </r>
  <r>
    <x v="583"/>
    <x v="15"/>
    <x v="583"/>
    <x v="1"/>
    <x v="15"/>
    <x v="0"/>
    <n v="4"/>
    <n v="50"/>
    <x v="7"/>
  </r>
  <r>
    <x v="584"/>
    <x v="217"/>
    <x v="584"/>
    <x v="1"/>
    <x v="46"/>
    <x v="1"/>
    <n v="1"/>
    <n v="25"/>
    <x v="16"/>
  </r>
  <r>
    <x v="585"/>
    <x v="186"/>
    <x v="585"/>
    <x v="0"/>
    <x v="2"/>
    <x v="2"/>
    <n v="1"/>
    <n v="50"/>
    <x v="5"/>
  </r>
  <r>
    <x v="586"/>
    <x v="276"/>
    <x v="586"/>
    <x v="1"/>
    <x v="30"/>
    <x v="0"/>
    <n v="4"/>
    <n v="300"/>
    <x v="14"/>
  </r>
  <r>
    <x v="587"/>
    <x v="164"/>
    <x v="587"/>
    <x v="0"/>
    <x v="21"/>
    <x v="2"/>
    <n v="2"/>
    <n v="30"/>
    <x v="17"/>
  </r>
  <r>
    <x v="588"/>
    <x v="22"/>
    <x v="588"/>
    <x v="1"/>
    <x v="32"/>
    <x v="0"/>
    <n v="2"/>
    <n v="500"/>
    <x v="1"/>
  </r>
  <r>
    <x v="589"/>
    <x v="255"/>
    <x v="589"/>
    <x v="0"/>
    <x v="32"/>
    <x v="1"/>
    <n v="3"/>
    <n v="300"/>
    <x v="12"/>
  </r>
  <r>
    <x v="590"/>
    <x v="2"/>
    <x v="590"/>
    <x v="0"/>
    <x v="45"/>
    <x v="2"/>
    <n v="4"/>
    <n v="25"/>
    <x v="4"/>
  </r>
  <r>
    <x v="591"/>
    <x v="58"/>
    <x v="591"/>
    <x v="1"/>
    <x v="6"/>
    <x v="0"/>
    <n v="4"/>
    <n v="500"/>
    <x v="11"/>
  </r>
  <r>
    <x v="592"/>
    <x v="4"/>
    <x v="592"/>
    <x v="0"/>
    <x v="10"/>
    <x v="2"/>
    <n v="2"/>
    <n v="30"/>
    <x v="17"/>
  </r>
  <r>
    <x v="593"/>
    <x v="152"/>
    <x v="593"/>
    <x v="1"/>
    <x v="14"/>
    <x v="2"/>
    <n v="2"/>
    <n v="300"/>
    <x v="6"/>
  </r>
  <r>
    <x v="594"/>
    <x v="289"/>
    <x v="594"/>
    <x v="1"/>
    <x v="18"/>
    <x v="1"/>
    <n v="4"/>
    <n v="500"/>
    <x v="11"/>
  </r>
  <r>
    <x v="595"/>
    <x v="227"/>
    <x v="595"/>
    <x v="1"/>
    <x v="12"/>
    <x v="2"/>
    <n v="1"/>
    <n v="300"/>
    <x v="13"/>
  </r>
  <r>
    <x v="596"/>
    <x v="290"/>
    <x v="596"/>
    <x v="0"/>
    <x v="11"/>
    <x v="0"/>
    <n v="4"/>
    <n v="300"/>
    <x v="14"/>
  </r>
  <r>
    <x v="597"/>
    <x v="291"/>
    <x v="597"/>
    <x v="0"/>
    <x v="3"/>
    <x v="0"/>
    <n v="4"/>
    <n v="30"/>
    <x v="10"/>
  </r>
  <r>
    <x v="598"/>
    <x v="292"/>
    <x v="598"/>
    <x v="1"/>
    <x v="20"/>
    <x v="0"/>
    <n v="2"/>
    <n v="50"/>
    <x v="4"/>
  </r>
  <r>
    <x v="599"/>
    <x v="293"/>
    <x v="599"/>
    <x v="1"/>
    <x v="42"/>
    <x v="0"/>
    <n v="2"/>
    <n v="500"/>
    <x v="1"/>
  </r>
  <r>
    <x v="600"/>
    <x v="294"/>
    <x v="600"/>
    <x v="0"/>
    <x v="14"/>
    <x v="1"/>
    <n v="1"/>
    <n v="30"/>
    <x v="2"/>
  </r>
  <r>
    <x v="601"/>
    <x v="204"/>
    <x v="601"/>
    <x v="1"/>
    <x v="29"/>
    <x v="2"/>
    <n v="1"/>
    <n v="300"/>
    <x v="13"/>
  </r>
  <r>
    <x v="602"/>
    <x v="295"/>
    <x v="602"/>
    <x v="1"/>
    <x v="30"/>
    <x v="1"/>
    <n v="3"/>
    <n v="30"/>
    <x v="15"/>
  </r>
  <r>
    <x v="603"/>
    <x v="296"/>
    <x v="603"/>
    <x v="1"/>
    <x v="38"/>
    <x v="2"/>
    <n v="4"/>
    <n v="50"/>
    <x v="7"/>
  </r>
  <r>
    <x v="604"/>
    <x v="104"/>
    <x v="604"/>
    <x v="0"/>
    <x v="3"/>
    <x v="2"/>
    <n v="2"/>
    <n v="500"/>
    <x v="1"/>
  </r>
  <r>
    <x v="605"/>
    <x v="179"/>
    <x v="605"/>
    <x v="0"/>
    <x v="11"/>
    <x v="2"/>
    <n v="1"/>
    <n v="50"/>
    <x v="5"/>
  </r>
  <r>
    <x v="606"/>
    <x v="255"/>
    <x v="606"/>
    <x v="0"/>
    <x v="31"/>
    <x v="1"/>
    <n v="3"/>
    <n v="25"/>
    <x v="8"/>
  </r>
  <r>
    <x v="607"/>
    <x v="92"/>
    <x v="607"/>
    <x v="1"/>
    <x v="28"/>
    <x v="2"/>
    <n v="3"/>
    <n v="500"/>
    <x v="9"/>
  </r>
  <r>
    <x v="608"/>
    <x v="80"/>
    <x v="608"/>
    <x v="1"/>
    <x v="16"/>
    <x v="1"/>
    <n v="2"/>
    <n v="50"/>
    <x v="4"/>
  </r>
  <r>
    <x v="609"/>
    <x v="297"/>
    <x v="609"/>
    <x v="1"/>
    <x v="1"/>
    <x v="0"/>
    <n v="2"/>
    <n v="300"/>
    <x v="6"/>
  </r>
  <r>
    <x v="610"/>
    <x v="130"/>
    <x v="610"/>
    <x v="0"/>
    <x v="25"/>
    <x v="0"/>
    <n v="3"/>
    <n v="500"/>
    <x v="9"/>
  </r>
  <r>
    <x v="611"/>
    <x v="298"/>
    <x v="611"/>
    <x v="1"/>
    <x v="39"/>
    <x v="2"/>
    <n v="1"/>
    <n v="500"/>
    <x v="3"/>
  </r>
  <r>
    <x v="612"/>
    <x v="26"/>
    <x v="612"/>
    <x v="1"/>
    <x v="8"/>
    <x v="1"/>
    <n v="3"/>
    <n v="30"/>
    <x v="15"/>
  </r>
  <r>
    <x v="613"/>
    <x v="258"/>
    <x v="613"/>
    <x v="1"/>
    <x v="23"/>
    <x v="0"/>
    <n v="4"/>
    <n v="300"/>
    <x v="14"/>
  </r>
  <r>
    <x v="614"/>
    <x v="204"/>
    <x v="614"/>
    <x v="1"/>
    <x v="39"/>
    <x v="1"/>
    <n v="4"/>
    <n v="25"/>
    <x v="4"/>
  </r>
  <r>
    <x v="615"/>
    <x v="299"/>
    <x v="615"/>
    <x v="0"/>
    <x v="41"/>
    <x v="1"/>
    <n v="2"/>
    <n v="50"/>
    <x v="4"/>
  </r>
  <r>
    <x v="616"/>
    <x v="300"/>
    <x v="616"/>
    <x v="0"/>
    <x v="0"/>
    <x v="2"/>
    <n v="1"/>
    <n v="30"/>
    <x v="2"/>
  </r>
  <r>
    <x v="617"/>
    <x v="197"/>
    <x v="617"/>
    <x v="1"/>
    <x v="15"/>
    <x v="0"/>
    <n v="1"/>
    <n v="50"/>
    <x v="5"/>
  </r>
  <r>
    <x v="618"/>
    <x v="81"/>
    <x v="618"/>
    <x v="0"/>
    <x v="16"/>
    <x v="2"/>
    <n v="4"/>
    <n v="25"/>
    <x v="4"/>
  </r>
  <r>
    <x v="619"/>
    <x v="193"/>
    <x v="619"/>
    <x v="0"/>
    <x v="7"/>
    <x v="2"/>
    <n v="3"/>
    <n v="25"/>
    <x v="8"/>
  </r>
  <r>
    <x v="620"/>
    <x v="301"/>
    <x v="620"/>
    <x v="1"/>
    <x v="30"/>
    <x v="0"/>
    <n v="2"/>
    <n v="500"/>
    <x v="1"/>
  </r>
  <r>
    <x v="621"/>
    <x v="290"/>
    <x v="621"/>
    <x v="1"/>
    <x v="19"/>
    <x v="0"/>
    <n v="3"/>
    <n v="25"/>
    <x v="8"/>
  </r>
  <r>
    <x v="622"/>
    <x v="239"/>
    <x v="622"/>
    <x v="0"/>
    <x v="0"/>
    <x v="1"/>
    <n v="3"/>
    <n v="50"/>
    <x v="0"/>
  </r>
  <r>
    <x v="623"/>
    <x v="300"/>
    <x v="623"/>
    <x v="1"/>
    <x v="0"/>
    <x v="0"/>
    <n v="3"/>
    <n v="300"/>
    <x v="12"/>
  </r>
  <r>
    <x v="624"/>
    <x v="236"/>
    <x v="624"/>
    <x v="0"/>
    <x v="33"/>
    <x v="1"/>
    <n v="1"/>
    <n v="300"/>
    <x v="13"/>
  </r>
  <r>
    <x v="625"/>
    <x v="136"/>
    <x v="625"/>
    <x v="1"/>
    <x v="1"/>
    <x v="1"/>
    <n v="4"/>
    <n v="500"/>
    <x v="11"/>
  </r>
  <r>
    <x v="626"/>
    <x v="257"/>
    <x v="626"/>
    <x v="0"/>
    <x v="35"/>
    <x v="1"/>
    <n v="1"/>
    <n v="50"/>
    <x v="5"/>
  </r>
  <r>
    <x v="627"/>
    <x v="215"/>
    <x v="627"/>
    <x v="1"/>
    <x v="14"/>
    <x v="0"/>
    <n v="4"/>
    <n v="50"/>
    <x v="7"/>
  </r>
  <r>
    <x v="628"/>
    <x v="302"/>
    <x v="628"/>
    <x v="0"/>
    <x v="17"/>
    <x v="2"/>
    <n v="2"/>
    <n v="25"/>
    <x v="5"/>
  </r>
  <r>
    <x v="629"/>
    <x v="196"/>
    <x v="629"/>
    <x v="0"/>
    <x v="13"/>
    <x v="1"/>
    <n v="2"/>
    <n v="50"/>
    <x v="4"/>
  </r>
  <r>
    <x v="630"/>
    <x v="235"/>
    <x v="630"/>
    <x v="0"/>
    <x v="37"/>
    <x v="2"/>
    <n v="3"/>
    <n v="30"/>
    <x v="15"/>
  </r>
  <r>
    <x v="631"/>
    <x v="18"/>
    <x v="631"/>
    <x v="1"/>
    <x v="1"/>
    <x v="2"/>
    <n v="4"/>
    <n v="25"/>
    <x v="4"/>
  </r>
  <r>
    <x v="632"/>
    <x v="252"/>
    <x v="632"/>
    <x v="0"/>
    <x v="23"/>
    <x v="0"/>
    <n v="4"/>
    <n v="30"/>
    <x v="10"/>
  </r>
  <r>
    <x v="633"/>
    <x v="283"/>
    <x v="633"/>
    <x v="0"/>
    <x v="43"/>
    <x v="2"/>
    <n v="4"/>
    <n v="500"/>
    <x v="11"/>
  </r>
  <r>
    <x v="634"/>
    <x v="303"/>
    <x v="634"/>
    <x v="1"/>
    <x v="7"/>
    <x v="2"/>
    <n v="3"/>
    <n v="300"/>
    <x v="12"/>
  </r>
  <r>
    <x v="635"/>
    <x v="31"/>
    <x v="635"/>
    <x v="1"/>
    <x v="34"/>
    <x v="0"/>
    <n v="3"/>
    <n v="500"/>
    <x v="9"/>
  </r>
  <r>
    <x v="636"/>
    <x v="152"/>
    <x v="636"/>
    <x v="0"/>
    <x v="22"/>
    <x v="1"/>
    <n v="2"/>
    <n v="300"/>
    <x v="6"/>
  </r>
  <r>
    <x v="637"/>
    <x v="304"/>
    <x v="637"/>
    <x v="0"/>
    <x v="6"/>
    <x v="2"/>
    <n v="1"/>
    <n v="500"/>
    <x v="3"/>
  </r>
  <r>
    <x v="638"/>
    <x v="305"/>
    <x v="638"/>
    <x v="1"/>
    <x v="17"/>
    <x v="0"/>
    <n v="4"/>
    <n v="50"/>
    <x v="7"/>
  </r>
  <r>
    <x v="639"/>
    <x v="98"/>
    <x v="639"/>
    <x v="1"/>
    <x v="25"/>
    <x v="2"/>
    <n v="4"/>
    <n v="30"/>
    <x v="10"/>
  </r>
  <r>
    <x v="640"/>
    <x v="250"/>
    <x v="640"/>
    <x v="1"/>
    <x v="30"/>
    <x v="2"/>
    <n v="1"/>
    <n v="300"/>
    <x v="13"/>
  </r>
  <r>
    <x v="641"/>
    <x v="247"/>
    <x v="641"/>
    <x v="1"/>
    <x v="31"/>
    <x v="1"/>
    <n v="4"/>
    <n v="25"/>
    <x v="4"/>
  </r>
  <r>
    <x v="642"/>
    <x v="272"/>
    <x v="642"/>
    <x v="1"/>
    <x v="20"/>
    <x v="2"/>
    <n v="3"/>
    <n v="30"/>
    <x v="15"/>
  </r>
  <r>
    <x v="643"/>
    <x v="147"/>
    <x v="643"/>
    <x v="0"/>
    <x v="9"/>
    <x v="0"/>
    <n v="3"/>
    <n v="25"/>
    <x v="8"/>
  </r>
  <r>
    <x v="644"/>
    <x v="131"/>
    <x v="644"/>
    <x v="1"/>
    <x v="10"/>
    <x v="2"/>
    <n v="4"/>
    <n v="30"/>
    <x v="10"/>
  </r>
  <r>
    <x v="645"/>
    <x v="143"/>
    <x v="645"/>
    <x v="0"/>
    <x v="21"/>
    <x v="1"/>
    <n v="3"/>
    <n v="30"/>
    <x v="15"/>
  </r>
  <r>
    <x v="646"/>
    <x v="3"/>
    <x v="646"/>
    <x v="0"/>
    <x v="42"/>
    <x v="1"/>
    <n v="3"/>
    <n v="500"/>
    <x v="9"/>
  </r>
  <r>
    <x v="647"/>
    <x v="306"/>
    <x v="647"/>
    <x v="0"/>
    <x v="45"/>
    <x v="0"/>
    <n v="4"/>
    <n v="300"/>
    <x v="14"/>
  </r>
  <r>
    <x v="648"/>
    <x v="307"/>
    <x v="648"/>
    <x v="1"/>
    <x v="26"/>
    <x v="1"/>
    <n v="2"/>
    <n v="300"/>
    <x v="6"/>
  </r>
  <r>
    <x v="649"/>
    <x v="158"/>
    <x v="649"/>
    <x v="0"/>
    <x v="28"/>
    <x v="2"/>
    <n v="1"/>
    <n v="30"/>
    <x v="2"/>
  </r>
  <r>
    <x v="650"/>
    <x v="203"/>
    <x v="650"/>
    <x v="0"/>
    <x v="25"/>
    <x v="1"/>
    <n v="3"/>
    <n v="50"/>
    <x v="0"/>
  </r>
  <r>
    <x v="651"/>
    <x v="217"/>
    <x v="651"/>
    <x v="1"/>
    <x v="0"/>
    <x v="0"/>
    <n v="2"/>
    <n v="50"/>
    <x v="4"/>
  </r>
  <r>
    <x v="652"/>
    <x v="241"/>
    <x v="652"/>
    <x v="0"/>
    <x v="31"/>
    <x v="1"/>
    <n v="3"/>
    <n v="25"/>
    <x v="8"/>
  </r>
  <r>
    <x v="653"/>
    <x v="288"/>
    <x v="653"/>
    <x v="0"/>
    <x v="13"/>
    <x v="1"/>
    <n v="3"/>
    <n v="25"/>
    <x v="8"/>
  </r>
  <r>
    <x v="654"/>
    <x v="308"/>
    <x v="654"/>
    <x v="1"/>
    <x v="28"/>
    <x v="1"/>
    <n v="1"/>
    <n v="500"/>
    <x v="3"/>
  </r>
  <r>
    <x v="655"/>
    <x v="135"/>
    <x v="655"/>
    <x v="0"/>
    <x v="38"/>
    <x v="0"/>
    <n v="3"/>
    <n v="30"/>
    <x v="15"/>
  </r>
  <r>
    <x v="656"/>
    <x v="213"/>
    <x v="656"/>
    <x v="0"/>
    <x v="30"/>
    <x v="1"/>
    <n v="1"/>
    <n v="25"/>
    <x v="16"/>
  </r>
  <r>
    <x v="657"/>
    <x v="105"/>
    <x v="657"/>
    <x v="0"/>
    <x v="42"/>
    <x v="1"/>
    <n v="1"/>
    <n v="25"/>
    <x v="16"/>
  </r>
  <r>
    <x v="658"/>
    <x v="309"/>
    <x v="658"/>
    <x v="1"/>
    <x v="23"/>
    <x v="2"/>
    <n v="1"/>
    <n v="30"/>
    <x v="2"/>
  </r>
  <r>
    <x v="659"/>
    <x v="310"/>
    <x v="659"/>
    <x v="1"/>
    <x v="21"/>
    <x v="0"/>
    <n v="2"/>
    <n v="500"/>
    <x v="1"/>
  </r>
  <r>
    <x v="660"/>
    <x v="295"/>
    <x v="660"/>
    <x v="1"/>
    <x v="24"/>
    <x v="1"/>
    <n v="4"/>
    <n v="25"/>
    <x v="4"/>
  </r>
  <r>
    <x v="661"/>
    <x v="311"/>
    <x v="661"/>
    <x v="0"/>
    <x v="27"/>
    <x v="0"/>
    <n v="2"/>
    <n v="500"/>
    <x v="1"/>
  </r>
  <r>
    <x v="662"/>
    <x v="111"/>
    <x v="662"/>
    <x v="0"/>
    <x v="9"/>
    <x v="1"/>
    <n v="4"/>
    <n v="300"/>
    <x v="14"/>
  </r>
  <r>
    <x v="663"/>
    <x v="251"/>
    <x v="663"/>
    <x v="1"/>
    <x v="24"/>
    <x v="1"/>
    <n v="4"/>
    <n v="500"/>
    <x v="11"/>
  </r>
  <r>
    <x v="664"/>
    <x v="175"/>
    <x v="664"/>
    <x v="0"/>
    <x v="35"/>
    <x v="1"/>
    <n v="1"/>
    <n v="50"/>
    <x v="5"/>
  </r>
  <r>
    <x v="665"/>
    <x v="114"/>
    <x v="665"/>
    <x v="0"/>
    <x v="25"/>
    <x v="2"/>
    <n v="3"/>
    <n v="50"/>
    <x v="0"/>
  </r>
  <r>
    <x v="666"/>
    <x v="291"/>
    <x v="666"/>
    <x v="1"/>
    <x v="38"/>
    <x v="2"/>
    <n v="1"/>
    <n v="500"/>
    <x v="3"/>
  </r>
  <r>
    <x v="667"/>
    <x v="180"/>
    <x v="667"/>
    <x v="1"/>
    <x v="17"/>
    <x v="2"/>
    <n v="3"/>
    <n v="50"/>
    <x v="0"/>
  </r>
  <r>
    <x v="668"/>
    <x v="171"/>
    <x v="668"/>
    <x v="0"/>
    <x v="46"/>
    <x v="0"/>
    <n v="4"/>
    <n v="300"/>
    <x v="14"/>
  </r>
  <r>
    <x v="669"/>
    <x v="209"/>
    <x v="669"/>
    <x v="0"/>
    <x v="15"/>
    <x v="0"/>
    <n v="1"/>
    <n v="30"/>
    <x v="2"/>
  </r>
  <r>
    <x v="670"/>
    <x v="286"/>
    <x v="670"/>
    <x v="0"/>
    <x v="17"/>
    <x v="2"/>
    <n v="3"/>
    <n v="50"/>
    <x v="0"/>
  </r>
  <r>
    <x v="671"/>
    <x v="291"/>
    <x v="671"/>
    <x v="1"/>
    <x v="0"/>
    <x v="0"/>
    <n v="2"/>
    <n v="50"/>
    <x v="4"/>
  </r>
  <r>
    <x v="672"/>
    <x v="190"/>
    <x v="672"/>
    <x v="1"/>
    <x v="22"/>
    <x v="1"/>
    <n v="3"/>
    <n v="500"/>
    <x v="9"/>
  </r>
  <r>
    <x v="673"/>
    <x v="312"/>
    <x v="673"/>
    <x v="1"/>
    <x v="21"/>
    <x v="1"/>
    <n v="1"/>
    <n v="300"/>
    <x v="13"/>
  </r>
  <r>
    <x v="674"/>
    <x v="279"/>
    <x v="674"/>
    <x v="1"/>
    <x v="5"/>
    <x v="1"/>
    <n v="2"/>
    <n v="30"/>
    <x v="17"/>
  </r>
  <r>
    <x v="675"/>
    <x v="202"/>
    <x v="675"/>
    <x v="0"/>
    <x v="7"/>
    <x v="2"/>
    <n v="3"/>
    <n v="500"/>
    <x v="9"/>
  </r>
  <r>
    <x v="676"/>
    <x v="101"/>
    <x v="676"/>
    <x v="1"/>
    <x v="14"/>
    <x v="0"/>
    <n v="3"/>
    <n v="500"/>
    <x v="9"/>
  </r>
  <r>
    <x v="677"/>
    <x v="204"/>
    <x v="677"/>
    <x v="1"/>
    <x v="43"/>
    <x v="2"/>
    <n v="3"/>
    <n v="300"/>
    <x v="12"/>
  </r>
  <r>
    <x v="678"/>
    <x v="166"/>
    <x v="678"/>
    <x v="1"/>
    <x v="18"/>
    <x v="0"/>
    <n v="3"/>
    <n v="30"/>
    <x v="15"/>
  </r>
  <r>
    <x v="679"/>
    <x v="293"/>
    <x v="679"/>
    <x v="1"/>
    <x v="45"/>
    <x v="1"/>
    <n v="3"/>
    <n v="300"/>
    <x v="12"/>
  </r>
  <r>
    <x v="680"/>
    <x v="37"/>
    <x v="680"/>
    <x v="1"/>
    <x v="22"/>
    <x v="2"/>
    <n v="2"/>
    <n v="30"/>
    <x v="17"/>
  </r>
  <r>
    <x v="681"/>
    <x v="211"/>
    <x v="681"/>
    <x v="0"/>
    <x v="6"/>
    <x v="0"/>
    <n v="4"/>
    <n v="300"/>
    <x v="14"/>
  </r>
  <r>
    <x v="682"/>
    <x v="30"/>
    <x v="682"/>
    <x v="0"/>
    <x v="21"/>
    <x v="0"/>
    <n v="2"/>
    <n v="500"/>
    <x v="1"/>
  </r>
  <r>
    <x v="683"/>
    <x v="313"/>
    <x v="683"/>
    <x v="1"/>
    <x v="20"/>
    <x v="1"/>
    <n v="2"/>
    <n v="500"/>
    <x v="1"/>
  </r>
  <r>
    <x v="684"/>
    <x v="132"/>
    <x v="684"/>
    <x v="0"/>
    <x v="35"/>
    <x v="2"/>
    <n v="2"/>
    <n v="25"/>
    <x v="5"/>
  </r>
  <r>
    <x v="685"/>
    <x v="202"/>
    <x v="685"/>
    <x v="1"/>
    <x v="20"/>
    <x v="2"/>
    <n v="4"/>
    <n v="50"/>
    <x v="7"/>
  </r>
  <r>
    <x v="686"/>
    <x v="25"/>
    <x v="686"/>
    <x v="1"/>
    <x v="45"/>
    <x v="2"/>
    <n v="1"/>
    <n v="300"/>
    <x v="13"/>
  </r>
  <r>
    <x v="687"/>
    <x v="99"/>
    <x v="687"/>
    <x v="0"/>
    <x v="37"/>
    <x v="1"/>
    <n v="4"/>
    <n v="25"/>
    <x v="4"/>
  </r>
  <r>
    <x v="688"/>
    <x v="9"/>
    <x v="688"/>
    <x v="0"/>
    <x v="35"/>
    <x v="2"/>
    <n v="2"/>
    <n v="50"/>
    <x v="4"/>
  </r>
  <r>
    <x v="689"/>
    <x v="19"/>
    <x v="689"/>
    <x v="1"/>
    <x v="8"/>
    <x v="1"/>
    <n v="3"/>
    <n v="300"/>
    <x v="12"/>
  </r>
  <r>
    <x v="690"/>
    <x v="26"/>
    <x v="690"/>
    <x v="1"/>
    <x v="25"/>
    <x v="1"/>
    <n v="3"/>
    <n v="30"/>
    <x v="15"/>
  </r>
  <r>
    <x v="691"/>
    <x v="206"/>
    <x v="691"/>
    <x v="1"/>
    <x v="12"/>
    <x v="1"/>
    <n v="2"/>
    <n v="50"/>
    <x v="4"/>
  </r>
  <r>
    <x v="692"/>
    <x v="26"/>
    <x v="692"/>
    <x v="0"/>
    <x v="41"/>
    <x v="0"/>
    <n v="3"/>
    <n v="500"/>
    <x v="9"/>
  </r>
  <r>
    <x v="693"/>
    <x v="241"/>
    <x v="693"/>
    <x v="1"/>
    <x v="23"/>
    <x v="2"/>
    <n v="2"/>
    <n v="25"/>
    <x v="5"/>
  </r>
  <r>
    <x v="694"/>
    <x v="269"/>
    <x v="694"/>
    <x v="1"/>
    <x v="11"/>
    <x v="2"/>
    <n v="3"/>
    <n v="50"/>
    <x v="0"/>
  </r>
  <r>
    <x v="695"/>
    <x v="147"/>
    <x v="695"/>
    <x v="1"/>
    <x v="2"/>
    <x v="1"/>
    <n v="4"/>
    <n v="50"/>
    <x v="7"/>
  </r>
  <r>
    <x v="696"/>
    <x v="267"/>
    <x v="696"/>
    <x v="0"/>
    <x v="45"/>
    <x v="1"/>
    <n v="1"/>
    <n v="500"/>
    <x v="3"/>
  </r>
  <r>
    <x v="697"/>
    <x v="202"/>
    <x v="697"/>
    <x v="1"/>
    <x v="12"/>
    <x v="2"/>
    <n v="1"/>
    <n v="300"/>
    <x v="13"/>
  </r>
  <r>
    <x v="698"/>
    <x v="36"/>
    <x v="698"/>
    <x v="1"/>
    <x v="3"/>
    <x v="1"/>
    <n v="4"/>
    <n v="30"/>
    <x v="10"/>
  </r>
  <r>
    <x v="699"/>
    <x v="174"/>
    <x v="699"/>
    <x v="0"/>
    <x v="32"/>
    <x v="2"/>
    <n v="4"/>
    <n v="500"/>
    <x v="11"/>
  </r>
  <r>
    <x v="700"/>
    <x v="266"/>
    <x v="700"/>
    <x v="1"/>
    <x v="8"/>
    <x v="0"/>
    <n v="2"/>
    <n v="30"/>
    <x v="17"/>
  </r>
  <r>
    <x v="701"/>
    <x v="282"/>
    <x v="701"/>
    <x v="1"/>
    <x v="43"/>
    <x v="1"/>
    <n v="2"/>
    <n v="300"/>
    <x v="6"/>
  </r>
  <r>
    <x v="702"/>
    <x v="154"/>
    <x v="702"/>
    <x v="0"/>
    <x v="0"/>
    <x v="2"/>
    <n v="2"/>
    <n v="50"/>
    <x v="4"/>
  </r>
  <r>
    <x v="703"/>
    <x v="117"/>
    <x v="703"/>
    <x v="1"/>
    <x v="17"/>
    <x v="1"/>
    <n v="3"/>
    <n v="30"/>
    <x v="15"/>
  </r>
  <r>
    <x v="704"/>
    <x v="150"/>
    <x v="704"/>
    <x v="0"/>
    <x v="43"/>
    <x v="2"/>
    <n v="2"/>
    <n v="25"/>
    <x v="5"/>
  </r>
  <r>
    <x v="705"/>
    <x v="229"/>
    <x v="705"/>
    <x v="0"/>
    <x v="25"/>
    <x v="2"/>
    <n v="4"/>
    <n v="25"/>
    <x v="4"/>
  </r>
  <r>
    <x v="706"/>
    <x v="77"/>
    <x v="706"/>
    <x v="1"/>
    <x v="1"/>
    <x v="1"/>
    <n v="1"/>
    <n v="500"/>
    <x v="3"/>
  </r>
  <r>
    <x v="707"/>
    <x v="20"/>
    <x v="707"/>
    <x v="1"/>
    <x v="22"/>
    <x v="0"/>
    <n v="3"/>
    <n v="300"/>
    <x v="12"/>
  </r>
  <r>
    <x v="708"/>
    <x v="314"/>
    <x v="708"/>
    <x v="1"/>
    <x v="14"/>
    <x v="2"/>
    <n v="2"/>
    <n v="500"/>
    <x v="1"/>
  </r>
  <r>
    <x v="709"/>
    <x v="315"/>
    <x v="709"/>
    <x v="1"/>
    <x v="1"/>
    <x v="2"/>
    <n v="3"/>
    <n v="500"/>
    <x v="9"/>
  </r>
  <r>
    <x v="710"/>
    <x v="230"/>
    <x v="710"/>
    <x v="0"/>
    <x v="1"/>
    <x v="2"/>
    <n v="3"/>
    <n v="500"/>
    <x v="9"/>
  </r>
  <r>
    <x v="711"/>
    <x v="237"/>
    <x v="711"/>
    <x v="1"/>
    <x v="35"/>
    <x v="0"/>
    <n v="2"/>
    <n v="25"/>
    <x v="5"/>
  </r>
  <r>
    <x v="712"/>
    <x v="20"/>
    <x v="712"/>
    <x v="0"/>
    <x v="0"/>
    <x v="0"/>
    <n v="3"/>
    <n v="25"/>
    <x v="8"/>
  </r>
  <r>
    <x v="713"/>
    <x v="316"/>
    <x v="713"/>
    <x v="1"/>
    <x v="18"/>
    <x v="1"/>
    <n v="1"/>
    <n v="500"/>
    <x v="3"/>
  </r>
  <r>
    <x v="714"/>
    <x v="95"/>
    <x v="714"/>
    <x v="1"/>
    <x v="13"/>
    <x v="0"/>
    <n v="4"/>
    <n v="25"/>
    <x v="4"/>
  </r>
  <r>
    <x v="715"/>
    <x v="102"/>
    <x v="715"/>
    <x v="1"/>
    <x v="43"/>
    <x v="1"/>
    <n v="4"/>
    <n v="300"/>
    <x v="14"/>
  </r>
  <r>
    <x v="716"/>
    <x v="317"/>
    <x v="716"/>
    <x v="0"/>
    <x v="35"/>
    <x v="1"/>
    <n v="1"/>
    <n v="500"/>
    <x v="3"/>
  </r>
  <r>
    <x v="717"/>
    <x v="78"/>
    <x v="717"/>
    <x v="1"/>
    <x v="42"/>
    <x v="0"/>
    <n v="3"/>
    <n v="25"/>
    <x v="8"/>
  </r>
  <r>
    <x v="718"/>
    <x v="194"/>
    <x v="718"/>
    <x v="1"/>
    <x v="13"/>
    <x v="1"/>
    <n v="2"/>
    <n v="30"/>
    <x v="17"/>
  </r>
  <r>
    <x v="719"/>
    <x v="197"/>
    <x v="719"/>
    <x v="1"/>
    <x v="37"/>
    <x v="0"/>
    <n v="3"/>
    <n v="500"/>
    <x v="9"/>
  </r>
  <r>
    <x v="720"/>
    <x v="224"/>
    <x v="720"/>
    <x v="1"/>
    <x v="8"/>
    <x v="1"/>
    <n v="1"/>
    <n v="500"/>
    <x v="3"/>
  </r>
  <r>
    <x v="721"/>
    <x v="37"/>
    <x v="721"/>
    <x v="0"/>
    <x v="29"/>
    <x v="0"/>
    <n v="3"/>
    <n v="300"/>
    <x v="12"/>
  </r>
  <r>
    <x v="722"/>
    <x v="278"/>
    <x v="722"/>
    <x v="1"/>
    <x v="31"/>
    <x v="0"/>
    <n v="4"/>
    <n v="50"/>
    <x v="7"/>
  </r>
  <r>
    <x v="723"/>
    <x v="90"/>
    <x v="723"/>
    <x v="0"/>
    <x v="39"/>
    <x v="1"/>
    <n v="3"/>
    <n v="50"/>
    <x v="0"/>
  </r>
  <r>
    <x v="724"/>
    <x v="63"/>
    <x v="724"/>
    <x v="0"/>
    <x v="39"/>
    <x v="2"/>
    <n v="1"/>
    <n v="300"/>
    <x v="13"/>
  </r>
  <r>
    <x v="725"/>
    <x v="278"/>
    <x v="725"/>
    <x v="0"/>
    <x v="16"/>
    <x v="1"/>
    <n v="4"/>
    <n v="300"/>
    <x v="14"/>
  </r>
  <r>
    <x v="726"/>
    <x v="36"/>
    <x v="726"/>
    <x v="0"/>
    <x v="28"/>
    <x v="0"/>
    <n v="3"/>
    <n v="300"/>
    <x v="12"/>
  </r>
  <r>
    <x v="727"/>
    <x v="37"/>
    <x v="727"/>
    <x v="0"/>
    <x v="25"/>
    <x v="2"/>
    <n v="3"/>
    <n v="50"/>
    <x v="0"/>
  </r>
  <r>
    <x v="728"/>
    <x v="29"/>
    <x v="728"/>
    <x v="0"/>
    <x v="38"/>
    <x v="1"/>
    <n v="4"/>
    <n v="300"/>
    <x v="14"/>
  </r>
  <r>
    <x v="729"/>
    <x v="279"/>
    <x v="729"/>
    <x v="1"/>
    <x v="32"/>
    <x v="1"/>
    <n v="2"/>
    <n v="25"/>
    <x v="5"/>
  </r>
  <r>
    <x v="730"/>
    <x v="318"/>
    <x v="730"/>
    <x v="0"/>
    <x v="31"/>
    <x v="1"/>
    <n v="4"/>
    <n v="500"/>
    <x v="11"/>
  </r>
  <r>
    <x v="731"/>
    <x v="213"/>
    <x v="731"/>
    <x v="0"/>
    <x v="39"/>
    <x v="2"/>
    <n v="2"/>
    <n v="500"/>
    <x v="1"/>
  </r>
  <r>
    <x v="732"/>
    <x v="261"/>
    <x v="732"/>
    <x v="0"/>
    <x v="0"/>
    <x v="0"/>
    <n v="1"/>
    <n v="30"/>
    <x v="2"/>
  </r>
  <r>
    <x v="733"/>
    <x v="141"/>
    <x v="733"/>
    <x v="1"/>
    <x v="15"/>
    <x v="1"/>
    <n v="1"/>
    <n v="30"/>
    <x v="2"/>
  </r>
  <r>
    <x v="734"/>
    <x v="135"/>
    <x v="734"/>
    <x v="1"/>
    <x v="12"/>
    <x v="1"/>
    <n v="4"/>
    <n v="500"/>
    <x v="11"/>
  </r>
  <r>
    <x v="735"/>
    <x v="246"/>
    <x v="735"/>
    <x v="0"/>
    <x v="38"/>
    <x v="1"/>
    <n v="4"/>
    <n v="25"/>
    <x v="4"/>
  </r>
  <r>
    <x v="736"/>
    <x v="263"/>
    <x v="736"/>
    <x v="1"/>
    <x v="44"/>
    <x v="1"/>
    <n v="1"/>
    <n v="50"/>
    <x v="5"/>
  </r>
  <r>
    <x v="737"/>
    <x v="5"/>
    <x v="737"/>
    <x v="0"/>
    <x v="41"/>
    <x v="1"/>
    <n v="2"/>
    <n v="50"/>
    <x v="4"/>
  </r>
  <r>
    <x v="738"/>
    <x v="23"/>
    <x v="738"/>
    <x v="0"/>
    <x v="32"/>
    <x v="0"/>
    <n v="1"/>
    <n v="25"/>
    <x v="16"/>
  </r>
  <r>
    <x v="739"/>
    <x v="57"/>
    <x v="739"/>
    <x v="1"/>
    <x v="36"/>
    <x v="0"/>
    <n v="4"/>
    <n v="50"/>
    <x v="7"/>
  </r>
  <r>
    <x v="740"/>
    <x v="198"/>
    <x v="740"/>
    <x v="0"/>
    <x v="27"/>
    <x v="1"/>
    <n v="1"/>
    <n v="300"/>
    <x v="13"/>
  </r>
  <r>
    <x v="741"/>
    <x v="219"/>
    <x v="741"/>
    <x v="1"/>
    <x v="21"/>
    <x v="2"/>
    <n v="4"/>
    <n v="500"/>
    <x v="11"/>
  </r>
  <r>
    <x v="742"/>
    <x v="14"/>
    <x v="742"/>
    <x v="1"/>
    <x v="0"/>
    <x v="0"/>
    <n v="4"/>
    <n v="500"/>
    <x v="11"/>
  </r>
  <r>
    <x v="743"/>
    <x v="98"/>
    <x v="743"/>
    <x v="0"/>
    <x v="30"/>
    <x v="2"/>
    <n v="1"/>
    <n v="25"/>
    <x v="16"/>
  </r>
  <r>
    <x v="744"/>
    <x v="157"/>
    <x v="744"/>
    <x v="0"/>
    <x v="31"/>
    <x v="0"/>
    <n v="2"/>
    <n v="50"/>
    <x v="4"/>
  </r>
  <r>
    <x v="745"/>
    <x v="166"/>
    <x v="745"/>
    <x v="1"/>
    <x v="44"/>
    <x v="1"/>
    <n v="3"/>
    <n v="30"/>
    <x v="15"/>
  </r>
  <r>
    <x v="746"/>
    <x v="229"/>
    <x v="746"/>
    <x v="0"/>
    <x v="9"/>
    <x v="0"/>
    <n v="1"/>
    <n v="30"/>
    <x v="2"/>
  </r>
  <r>
    <x v="747"/>
    <x v="111"/>
    <x v="747"/>
    <x v="0"/>
    <x v="36"/>
    <x v="1"/>
    <n v="3"/>
    <n v="50"/>
    <x v="0"/>
  </r>
  <r>
    <x v="748"/>
    <x v="143"/>
    <x v="748"/>
    <x v="0"/>
    <x v="13"/>
    <x v="0"/>
    <n v="1"/>
    <n v="30"/>
    <x v="2"/>
  </r>
  <r>
    <x v="749"/>
    <x v="149"/>
    <x v="749"/>
    <x v="1"/>
    <x v="10"/>
    <x v="1"/>
    <n v="3"/>
    <n v="25"/>
    <x v="8"/>
  </r>
  <r>
    <x v="750"/>
    <x v="178"/>
    <x v="750"/>
    <x v="1"/>
    <x v="13"/>
    <x v="1"/>
    <n v="2"/>
    <n v="25"/>
    <x v="5"/>
  </r>
  <r>
    <x v="751"/>
    <x v="174"/>
    <x v="751"/>
    <x v="0"/>
    <x v="38"/>
    <x v="1"/>
    <n v="2"/>
    <n v="50"/>
    <x v="4"/>
  </r>
  <r>
    <x v="752"/>
    <x v="122"/>
    <x v="752"/>
    <x v="1"/>
    <x v="40"/>
    <x v="1"/>
    <n v="1"/>
    <n v="30"/>
    <x v="2"/>
  </r>
  <r>
    <x v="753"/>
    <x v="230"/>
    <x v="753"/>
    <x v="1"/>
    <x v="22"/>
    <x v="2"/>
    <n v="4"/>
    <n v="25"/>
    <x v="4"/>
  </r>
  <r>
    <x v="754"/>
    <x v="16"/>
    <x v="754"/>
    <x v="1"/>
    <x v="26"/>
    <x v="1"/>
    <n v="3"/>
    <n v="25"/>
    <x v="8"/>
  </r>
  <r>
    <x v="755"/>
    <x v="286"/>
    <x v="755"/>
    <x v="1"/>
    <x v="17"/>
    <x v="2"/>
    <n v="4"/>
    <n v="300"/>
    <x v="14"/>
  </r>
  <r>
    <x v="756"/>
    <x v="319"/>
    <x v="756"/>
    <x v="1"/>
    <x v="22"/>
    <x v="2"/>
    <n v="4"/>
    <n v="300"/>
    <x v="14"/>
  </r>
  <r>
    <x v="757"/>
    <x v="320"/>
    <x v="757"/>
    <x v="0"/>
    <x v="12"/>
    <x v="1"/>
    <n v="4"/>
    <n v="25"/>
    <x v="4"/>
  </r>
  <r>
    <x v="758"/>
    <x v="321"/>
    <x v="758"/>
    <x v="0"/>
    <x v="19"/>
    <x v="2"/>
    <n v="2"/>
    <n v="50"/>
    <x v="4"/>
  </r>
  <r>
    <x v="759"/>
    <x v="200"/>
    <x v="759"/>
    <x v="0"/>
    <x v="15"/>
    <x v="0"/>
    <n v="1"/>
    <n v="500"/>
    <x v="3"/>
  </r>
  <r>
    <x v="760"/>
    <x v="155"/>
    <x v="760"/>
    <x v="1"/>
    <x v="44"/>
    <x v="1"/>
    <n v="1"/>
    <n v="500"/>
    <x v="3"/>
  </r>
  <r>
    <x v="761"/>
    <x v="155"/>
    <x v="761"/>
    <x v="1"/>
    <x v="46"/>
    <x v="2"/>
    <n v="2"/>
    <n v="25"/>
    <x v="5"/>
  </r>
  <r>
    <x v="762"/>
    <x v="122"/>
    <x v="762"/>
    <x v="0"/>
    <x v="0"/>
    <x v="1"/>
    <n v="2"/>
    <n v="25"/>
    <x v="5"/>
  </r>
  <r>
    <x v="763"/>
    <x v="66"/>
    <x v="763"/>
    <x v="1"/>
    <x v="30"/>
    <x v="1"/>
    <n v="1"/>
    <n v="25"/>
    <x v="16"/>
  </r>
  <r>
    <x v="764"/>
    <x v="159"/>
    <x v="764"/>
    <x v="0"/>
    <x v="22"/>
    <x v="1"/>
    <n v="4"/>
    <n v="50"/>
    <x v="7"/>
  </r>
  <r>
    <x v="765"/>
    <x v="192"/>
    <x v="765"/>
    <x v="0"/>
    <x v="21"/>
    <x v="2"/>
    <n v="3"/>
    <n v="300"/>
    <x v="12"/>
  </r>
  <r>
    <x v="766"/>
    <x v="208"/>
    <x v="766"/>
    <x v="0"/>
    <x v="23"/>
    <x v="0"/>
    <n v="3"/>
    <n v="25"/>
    <x v="8"/>
  </r>
  <r>
    <x v="767"/>
    <x v="20"/>
    <x v="767"/>
    <x v="1"/>
    <x v="46"/>
    <x v="0"/>
    <n v="3"/>
    <n v="25"/>
    <x v="8"/>
  </r>
  <r>
    <x v="768"/>
    <x v="159"/>
    <x v="768"/>
    <x v="1"/>
    <x v="33"/>
    <x v="2"/>
    <n v="4"/>
    <n v="30"/>
    <x v="10"/>
  </r>
  <r>
    <x v="769"/>
    <x v="293"/>
    <x v="769"/>
    <x v="0"/>
    <x v="40"/>
    <x v="1"/>
    <n v="1"/>
    <n v="50"/>
    <x v="5"/>
  </r>
  <r>
    <x v="770"/>
    <x v="8"/>
    <x v="770"/>
    <x v="0"/>
    <x v="46"/>
    <x v="2"/>
    <n v="2"/>
    <n v="25"/>
    <x v="5"/>
  </r>
  <r>
    <x v="771"/>
    <x v="322"/>
    <x v="771"/>
    <x v="0"/>
    <x v="1"/>
    <x v="2"/>
    <n v="1"/>
    <n v="30"/>
    <x v="2"/>
  </r>
  <r>
    <x v="772"/>
    <x v="323"/>
    <x v="772"/>
    <x v="0"/>
    <x v="36"/>
    <x v="2"/>
    <n v="4"/>
    <n v="500"/>
    <x v="11"/>
  </r>
  <r>
    <x v="773"/>
    <x v="22"/>
    <x v="773"/>
    <x v="1"/>
    <x v="30"/>
    <x v="1"/>
    <n v="2"/>
    <n v="25"/>
    <x v="5"/>
  </r>
  <r>
    <x v="774"/>
    <x v="195"/>
    <x v="774"/>
    <x v="1"/>
    <x v="6"/>
    <x v="2"/>
    <n v="4"/>
    <n v="25"/>
    <x v="4"/>
  </r>
  <r>
    <x v="775"/>
    <x v="315"/>
    <x v="775"/>
    <x v="0"/>
    <x v="10"/>
    <x v="1"/>
    <n v="3"/>
    <n v="30"/>
    <x v="15"/>
  </r>
  <r>
    <x v="776"/>
    <x v="156"/>
    <x v="776"/>
    <x v="0"/>
    <x v="27"/>
    <x v="2"/>
    <n v="3"/>
    <n v="50"/>
    <x v="0"/>
  </r>
  <r>
    <x v="777"/>
    <x v="51"/>
    <x v="777"/>
    <x v="1"/>
    <x v="16"/>
    <x v="0"/>
    <n v="4"/>
    <n v="25"/>
    <x v="4"/>
  </r>
  <r>
    <x v="778"/>
    <x v="179"/>
    <x v="778"/>
    <x v="1"/>
    <x v="37"/>
    <x v="2"/>
    <n v="2"/>
    <n v="500"/>
    <x v="1"/>
  </r>
  <r>
    <x v="779"/>
    <x v="7"/>
    <x v="779"/>
    <x v="0"/>
    <x v="8"/>
    <x v="2"/>
    <n v="2"/>
    <n v="25"/>
    <x v="5"/>
  </r>
  <r>
    <x v="780"/>
    <x v="204"/>
    <x v="780"/>
    <x v="0"/>
    <x v="10"/>
    <x v="0"/>
    <n v="1"/>
    <n v="500"/>
    <x v="3"/>
  </r>
  <r>
    <x v="781"/>
    <x v="234"/>
    <x v="781"/>
    <x v="0"/>
    <x v="42"/>
    <x v="1"/>
    <n v="3"/>
    <n v="300"/>
    <x v="12"/>
  </r>
  <r>
    <x v="782"/>
    <x v="82"/>
    <x v="782"/>
    <x v="1"/>
    <x v="37"/>
    <x v="1"/>
    <n v="1"/>
    <n v="300"/>
    <x v="13"/>
  </r>
  <r>
    <x v="783"/>
    <x v="324"/>
    <x v="783"/>
    <x v="1"/>
    <x v="0"/>
    <x v="2"/>
    <n v="1"/>
    <n v="500"/>
    <x v="3"/>
  </r>
  <r>
    <x v="784"/>
    <x v="163"/>
    <x v="784"/>
    <x v="1"/>
    <x v="33"/>
    <x v="0"/>
    <n v="4"/>
    <n v="50"/>
    <x v="7"/>
  </r>
  <r>
    <x v="785"/>
    <x v="222"/>
    <x v="785"/>
    <x v="0"/>
    <x v="27"/>
    <x v="1"/>
    <n v="4"/>
    <n v="25"/>
    <x v="4"/>
  </r>
  <r>
    <x v="786"/>
    <x v="256"/>
    <x v="786"/>
    <x v="0"/>
    <x v="41"/>
    <x v="2"/>
    <n v="1"/>
    <n v="25"/>
    <x v="16"/>
  </r>
  <r>
    <x v="787"/>
    <x v="325"/>
    <x v="787"/>
    <x v="1"/>
    <x v="8"/>
    <x v="0"/>
    <n v="3"/>
    <n v="300"/>
    <x v="12"/>
  </r>
  <r>
    <x v="788"/>
    <x v="148"/>
    <x v="788"/>
    <x v="1"/>
    <x v="39"/>
    <x v="1"/>
    <n v="4"/>
    <n v="500"/>
    <x v="11"/>
  </r>
  <r>
    <x v="789"/>
    <x v="102"/>
    <x v="789"/>
    <x v="0"/>
    <x v="17"/>
    <x v="1"/>
    <n v="1"/>
    <n v="25"/>
    <x v="16"/>
  </r>
  <r>
    <x v="790"/>
    <x v="59"/>
    <x v="790"/>
    <x v="1"/>
    <x v="25"/>
    <x v="0"/>
    <n v="1"/>
    <n v="25"/>
    <x v="16"/>
  </r>
  <r>
    <x v="791"/>
    <x v="67"/>
    <x v="791"/>
    <x v="1"/>
    <x v="29"/>
    <x v="0"/>
    <n v="1"/>
    <n v="50"/>
    <x v="5"/>
  </r>
  <r>
    <x v="792"/>
    <x v="57"/>
    <x v="792"/>
    <x v="0"/>
    <x v="31"/>
    <x v="0"/>
    <n v="1"/>
    <n v="30"/>
    <x v="2"/>
  </r>
  <r>
    <x v="793"/>
    <x v="129"/>
    <x v="793"/>
    <x v="1"/>
    <x v="43"/>
    <x v="0"/>
    <n v="1"/>
    <n v="300"/>
    <x v="13"/>
  </r>
  <r>
    <x v="794"/>
    <x v="73"/>
    <x v="794"/>
    <x v="0"/>
    <x v="35"/>
    <x v="2"/>
    <n v="1"/>
    <n v="300"/>
    <x v="13"/>
  </r>
  <r>
    <x v="795"/>
    <x v="33"/>
    <x v="795"/>
    <x v="0"/>
    <x v="22"/>
    <x v="0"/>
    <n v="4"/>
    <n v="30"/>
    <x v="10"/>
  </r>
  <r>
    <x v="796"/>
    <x v="326"/>
    <x v="796"/>
    <x v="0"/>
    <x v="30"/>
    <x v="1"/>
    <n v="3"/>
    <n v="25"/>
    <x v="8"/>
  </r>
  <r>
    <x v="797"/>
    <x v="279"/>
    <x v="797"/>
    <x v="0"/>
    <x v="39"/>
    <x v="1"/>
    <n v="1"/>
    <n v="50"/>
    <x v="5"/>
  </r>
  <r>
    <x v="798"/>
    <x v="140"/>
    <x v="798"/>
    <x v="0"/>
    <x v="37"/>
    <x v="2"/>
    <n v="2"/>
    <n v="50"/>
    <x v="4"/>
  </r>
  <r>
    <x v="799"/>
    <x v="130"/>
    <x v="799"/>
    <x v="0"/>
    <x v="40"/>
    <x v="1"/>
    <n v="4"/>
    <n v="300"/>
    <x v="14"/>
  </r>
  <r>
    <x v="800"/>
    <x v="327"/>
    <x v="800"/>
    <x v="0"/>
    <x v="34"/>
    <x v="1"/>
    <n v="4"/>
    <n v="50"/>
    <x v="7"/>
  </r>
  <r>
    <x v="801"/>
    <x v="53"/>
    <x v="801"/>
    <x v="1"/>
    <x v="6"/>
    <x v="0"/>
    <n v="1"/>
    <n v="30"/>
    <x v="2"/>
  </r>
  <r>
    <x v="802"/>
    <x v="64"/>
    <x v="802"/>
    <x v="0"/>
    <x v="23"/>
    <x v="1"/>
    <n v="4"/>
    <n v="25"/>
    <x v="4"/>
  </r>
  <r>
    <x v="803"/>
    <x v="44"/>
    <x v="803"/>
    <x v="0"/>
    <x v="13"/>
    <x v="2"/>
    <n v="1"/>
    <n v="30"/>
    <x v="2"/>
  </r>
  <r>
    <x v="804"/>
    <x v="167"/>
    <x v="804"/>
    <x v="1"/>
    <x v="4"/>
    <x v="0"/>
    <n v="3"/>
    <n v="500"/>
    <x v="9"/>
  </r>
  <r>
    <x v="805"/>
    <x v="111"/>
    <x v="805"/>
    <x v="1"/>
    <x v="10"/>
    <x v="0"/>
    <n v="3"/>
    <n v="300"/>
    <x v="12"/>
  </r>
  <r>
    <x v="806"/>
    <x v="124"/>
    <x v="806"/>
    <x v="1"/>
    <x v="2"/>
    <x v="2"/>
    <n v="4"/>
    <n v="50"/>
    <x v="7"/>
  </r>
  <r>
    <x v="807"/>
    <x v="258"/>
    <x v="807"/>
    <x v="0"/>
    <x v="44"/>
    <x v="0"/>
    <n v="4"/>
    <n v="500"/>
    <x v="11"/>
  </r>
  <r>
    <x v="808"/>
    <x v="223"/>
    <x v="808"/>
    <x v="1"/>
    <x v="17"/>
    <x v="0"/>
    <n v="2"/>
    <n v="50"/>
    <x v="4"/>
  </r>
  <r>
    <x v="809"/>
    <x v="198"/>
    <x v="809"/>
    <x v="0"/>
    <x v="42"/>
    <x v="2"/>
    <n v="4"/>
    <n v="25"/>
    <x v="4"/>
  </r>
  <r>
    <x v="810"/>
    <x v="79"/>
    <x v="810"/>
    <x v="0"/>
    <x v="39"/>
    <x v="0"/>
    <n v="2"/>
    <n v="25"/>
    <x v="5"/>
  </r>
  <r>
    <x v="811"/>
    <x v="281"/>
    <x v="811"/>
    <x v="0"/>
    <x v="14"/>
    <x v="2"/>
    <n v="3"/>
    <n v="25"/>
    <x v="8"/>
  </r>
  <r>
    <x v="812"/>
    <x v="99"/>
    <x v="812"/>
    <x v="0"/>
    <x v="8"/>
    <x v="2"/>
    <n v="3"/>
    <n v="50"/>
    <x v="0"/>
  </r>
  <r>
    <x v="813"/>
    <x v="328"/>
    <x v="813"/>
    <x v="1"/>
    <x v="42"/>
    <x v="1"/>
    <n v="1"/>
    <n v="500"/>
    <x v="3"/>
  </r>
  <r>
    <x v="814"/>
    <x v="286"/>
    <x v="814"/>
    <x v="1"/>
    <x v="25"/>
    <x v="1"/>
    <n v="3"/>
    <n v="25"/>
    <x v="8"/>
  </r>
  <r>
    <x v="815"/>
    <x v="269"/>
    <x v="815"/>
    <x v="0"/>
    <x v="16"/>
    <x v="0"/>
    <n v="2"/>
    <n v="500"/>
    <x v="1"/>
  </r>
  <r>
    <x v="816"/>
    <x v="315"/>
    <x v="816"/>
    <x v="0"/>
    <x v="4"/>
    <x v="0"/>
    <n v="4"/>
    <n v="50"/>
    <x v="7"/>
  </r>
  <r>
    <x v="817"/>
    <x v="88"/>
    <x v="817"/>
    <x v="0"/>
    <x v="4"/>
    <x v="2"/>
    <n v="1"/>
    <n v="500"/>
    <x v="3"/>
  </r>
  <r>
    <x v="818"/>
    <x v="139"/>
    <x v="818"/>
    <x v="1"/>
    <x v="10"/>
    <x v="0"/>
    <n v="2"/>
    <n v="50"/>
    <x v="4"/>
  </r>
  <r>
    <x v="819"/>
    <x v="4"/>
    <x v="819"/>
    <x v="0"/>
    <x v="19"/>
    <x v="2"/>
    <n v="4"/>
    <n v="50"/>
    <x v="7"/>
  </r>
  <r>
    <x v="820"/>
    <x v="10"/>
    <x v="820"/>
    <x v="0"/>
    <x v="19"/>
    <x v="2"/>
    <n v="1"/>
    <n v="300"/>
    <x v="13"/>
  </r>
  <r>
    <x v="821"/>
    <x v="29"/>
    <x v="821"/>
    <x v="1"/>
    <x v="8"/>
    <x v="0"/>
    <n v="3"/>
    <n v="50"/>
    <x v="0"/>
  </r>
  <r>
    <x v="822"/>
    <x v="304"/>
    <x v="822"/>
    <x v="1"/>
    <x v="37"/>
    <x v="2"/>
    <n v="2"/>
    <n v="50"/>
    <x v="4"/>
  </r>
  <r>
    <x v="823"/>
    <x v="179"/>
    <x v="823"/>
    <x v="0"/>
    <x v="7"/>
    <x v="1"/>
    <n v="4"/>
    <n v="30"/>
    <x v="10"/>
  </r>
  <r>
    <x v="824"/>
    <x v="300"/>
    <x v="824"/>
    <x v="1"/>
    <x v="6"/>
    <x v="0"/>
    <n v="1"/>
    <n v="25"/>
    <x v="16"/>
  </r>
  <r>
    <x v="825"/>
    <x v="218"/>
    <x v="825"/>
    <x v="1"/>
    <x v="6"/>
    <x v="1"/>
    <n v="1"/>
    <n v="300"/>
    <x v="13"/>
  </r>
  <r>
    <x v="826"/>
    <x v="289"/>
    <x v="826"/>
    <x v="0"/>
    <x v="39"/>
    <x v="0"/>
    <n v="3"/>
    <n v="300"/>
    <x v="12"/>
  </r>
  <r>
    <x v="827"/>
    <x v="174"/>
    <x v="827"/>
    <x v="1"/>
    <x v="44"/>
    <x v="2"/>
    <n v="4"/>
    <n v="300"/>
    <x v="14"/>
  </r>
  <r>
    <x v="828"/>
    <x v="37"/>
    <x v="828"/>
    <x v="0"/>
    <x v="39"/>
    <x v="0"/>
    <n v="3"/>
    <n v="30"/>
    <x v="15"/>
  </r>
  <r>
    <x v="829"/>
    <x v="36"/>
    <x v="829"/>
    <x v="1"/>
    <x v="12"/>
    <x v="1"/>
    <n v="3"/>
    <n v="50"/>
    <x v="0"/>
  </r>
  <r>
    <x v="830"/>
    <x v="267"/>
    <x v="830"/>
    <x v="0"/>
    <x v="15"/>
    <x v="2"/>
    <n v="4"/>
    <n v="25"/>
    <x v="4"/>
  </r>
  <r>
    <x v="831"/>
    <x v="296"/>
    <x v="831"/>
    <x v="0"/>
    <x v="16"/>
    <x v="0"/>
    <n v="4"/>
    <n v="500"/>
    <x v="11"/>
  </r>
  <r>
    <x v="832"/>
    <x v="83"/>
    <x v="832"/>
    <x v="0"/>
    <x v="13"/>
    <x v="0"/>
    <n v="4"/>
    <n v="50"/>
    <x v="7"/>
  </r>
  <r>
    <x v="833"/>
    <x v="194"/>
    <x v="833"/>
    <x v="1"/>
    <x v="37"/>
    <x v="0"/>
    <n v="2"/>
    <n v="30"/>
    <x v="17"/>
  </r>
  <r>
    <x v="834"/>
    <x v="206"/>
    <x v="834"/>
    <x v="0"/>
    <x v="3"/>
    <x v="1"/>
    <n v="4"/>
    <n v="50"/>
    <x v="7"/>
  </r>
  <r>
    <x v="835"/>
    <x v="90"/>
    <x v="835"/>
    <x v="1"/>
    <x v="11"/>
    <x v="1"/>
    <n v="1"/>
    <n v="50"/>
    <x v="5"/>
  </r>
  <r>
    <x v="836"/>
    <x v="68"/>
    <x v="836"/>
    <x v="0"/>
    <x v="18"/>
    <x v="0"/>
    <n v="3"/>
    <n v="30"/>
    <x v="15"/>
  </r>
  <r>
    <x v="837"/>
    <x v="305"/>
    <x v="837"/>
    <x v="0"/>
    <x v="16"/>
    <x v="2"/>
    <n v="2"/>
    <n v="300"/>
    <x v="6"/>
  </r>
  <r>
    <x v="838"/>
    <x v="33"/>
    <x v="838"/>
    <x v="1"/>
    <x v="29"/>
    <x v="2"/>
    <n v="4"/>
    <n v="300"/>
    <x v="14"/>
  </r>
  <r>
    <x v="839"/>
    <x v="329"/>
    <x v="839"/>
    <x v="0"/>
    <x v="17"/>
    <x v="1"/>
    <n v="2"/>
    <n v="25"/>
    <x v="5"/>
  </r>
  <r>
    <x v="840"/>
    <x v="113"/>
    <x v="840"/>
    <x v="0"/>
    <x v="33"/>
    <x v="2"/>
    <n v="4"/>
    <n v="25"/>
    <x v="4"/>
  </r>
  <r>
    <x v="841"/>
    <x v="24"/>
    <x v="841"/>
    <x v="1"/>
    <x v="16"/>
    <x v="1"/>
    <n v="2"/>
    <n v="300"/>
    <x v="6"/>
  </r>
  <r>
    <x v="842"/>
    <x v="247"/>
    <x v="842"/>
    <x v="0"/>
    <x v="34"/>
    <x v="0"/>
    <n v="3"/>
    <n v="500"/>
    <x v="9"/>
  </r>
  <r>
    <x v="843"/>
    <x v="205"/>
    <x v="843"/>
    <x v="0"/>
    <x v="10"/>
    <x v="1"/>
    <n v="3"/>
    <n v="50"/>
    <x v="0"/>
  </r>
  <r>
    <x v="844"/>
    <x v="121"/>
    <x v="844"/>
    <x v="0"/>
    <x v="31"/>
    <x v="1"/>
    <n v="1"/>
    <n v="500"/>
    <x v="3"/>
  </r>
  <r>
    <x v="845"/>
    <x v="161"/>
    <x v="845"/>
    <x v="0"/>
    <x v="13"/>
    <x v="0"/>
    <n v="1"/>
    <n v="50"/>
    <x v="5"/>
  </r>
  <r>
    <x v="846"/>
    <x v="181"/>
    <x v="846"/>
    <x v="1"/>
    <x v="18"/>
    <x v="2"/>
    <n v="4"/>
    <n v="300"/>
    <x v="14"/>
  </r>
  <r>
    <x v="847"/>
    <x v="146"/>
    <x v="847"/>
    <x v="1"/>
    <x v="7"/>
    <x v="1"/>
    <n v="3"/>
    <n v="25"/>
    <x v="8"/>
  </r>
  <r>
    <x v="848"/>
    <x v="145"/>
    <x v="848"/>
    <x v="0"/>
    <x v="40"/>
    <x v="1"/>
    <n v="2"/>
    <n v="25"/>
    <x v="5"/>
  </r>
  <r>
    <x v="849"/>
    <x v="180"/>
    <x v="849"/>
    <x v="1"/>
    <x v="1"/>
    <x v="0"/>
    <n v="2"/>
    <n v="500"/>
    <x v="1"/>
  </r>
  <r>
    <x v="850"/>
    <x v="140"/>
    <x v="850"/>
    <x v="0"/>
    <x v="40"/>
    <x v="2"/>
    <n v="2"/>
    <n v="25"/>
    <x v="5"/>
  </r>
  <r>
    <x v="851"/>
    <x v="205"/>
    <x v="851"/>
    <x v="1"/>
    <x v="41"/>
    <x v="1"/>
    <n v="1"/>
    <n v="300"/>
    <x v="13"/>
  </r>
  <r>
    <x v="852"/>
    <x v="145"/>
    <x v="852"/>
    <x v="0"/>
    <x v="34"/>
    <x v="0"/>
    <n v="2"/>
    <n v="500"/>
    <x v="1"/>
  </r>
  <r>
    <x v="853"/>
    <x v="156"/>
    <x v="853"/>
    <x v="0"/>
    <x v="38"/>
    <x v="1"/>
    <n v="1"/>
    <n v="50"/>
    <x v="5"/>
  </r>
  <r>
    <x v="854"/>
    <x v="152"/>
    <x v="854"/>
    <x v="0"/>
    <x v="31"/>
    <x v="0"/>
    <n v="1"/>
    <n v="25"/>
    <x v="16"/>
  </r>
  <r>
    <x v="855"/>
    <x v="188"/>
    <x v="855"/>
    <x v="0"/>
    <x v="31"/>
    <x v="2"/>
    <n v="4"/>
    <n v="30"/>
    <x v="10"/>
  </r>
  <r>
    <x v="856"/>
    <x v="330"/>
    <x v="856"/>
    <x v="0"/>
    <x v="43"/>
    <x v="2"/>
    <n v="2"/>
    <n v="25"/>
    <x v="5"/>
  </r>
  <r>
    <x v="857"/>
    <x v="331"/>
    <x v="857"/>
    <x v="0"/>
    <x v="9"/>
    <x v="2"/>
    <n v="2"/>
    <n v="50"/>
    <x v="4"/>
  </r>
  <r>
    <x v="858"/>
    <x v="27"/>
    <x v="858"/>
    <x v="1"/>
    <x v="37"/>
    <x v="2"/>
    <n v="3"/>
    <n v="500"/>
    <x v="9"/>
  </r>
  <r>
    <x v="859"/>
    <x v="332"/>
    <x v="859"/>
    <x v="0"/>
    <x v="7"/>
    <x v="1"/>
    <n v="4"/>
    <n v="50"/>
    <x v="7"/>
  </r>
  <r>
    <x v="860"/>
    <x v="15"/>
    <x v="860"/>
    <x v="1"/>
    <x v="41"/>
    <x v="1"/>
    <n v="3"/>
    <n v="30"/>
    <x v="15"/>
  </r>
  <r>
    <x v="861"/>
    <x v="50"/>
    <x v="861"/>
    <x v="0"/>
    <x v="20"/>
    <x v="2"/>
    <n v="4"/>
    <n v="300"/>
    <x v="14"/>
  </r>
  <r>
    <x v="862"/>
    <x v="262"/>
    <x v="862"/>
    <x v="1"/>
    <x v="4"/>
    <x v="2"/>
    <n v="2"/>
    <n v="25"/>
    <x v="5"/>
  </r>
  <r>
    <x v="863"/>
    <x v="282"/>
    <x v="863"/>
    <x v="1"/>
    <x v="25"/>
    <x v="2"/>
    <n v="1"/>
    <n v="500"/>
    <x v="3"/>
  </r>
  <r>
    <x v="864"/>
    <x v="333"/>
    <x v="864"/>
    <x v="1"/>
    <x v="13"/>
    <x v="1"/>
    <n v="1"/>
    <n v="300"/>
    <x v="13"/>
  </r>
  <r>
    <x v="865"/>
    <x v="179"/>
    <x v="865"/>
    <x v="0"/>
    <x v="46"/>
    <x v="2"/>
    <n v="1"/>
    <n v="50"/>
    <x v="5"/>
  </r>
  <r>
    <x v="866"/>
    <x v="264"/>
    <x v="866"/>
    <x v="0"/>
    <x v="34"/>
    <x v="2"/>
    <n v="1"/>
    <n v="500"/>
    <x v="3"/>
  </r>
  <r>
    <x v="867"/>
    <x v="237"/>
    <x v="867"/>
    <x v="1"/>
    <x v="36"/>
    <x v="2"/>
    <n v="1"/>
    <n v="300"/>
    <x v="13"/>
  </r>
  <r>
    <x v="868"/>
    <x v="268"/>
    <x v="868"/>
    <x v="0"/>
    <x v="3"/>
    <x v="0"/>
    <n v="3"/>
    <n v="500"/>
    <x v="9"/>
  </r>
  <r>
    <x v="869"/>
    <x v="321"/>
    <x v="869"/>
    <x v="1"/>
    <x v="6"/>
    <x v="2"/>
    <n v="4"/>
    <n v="30"/>
    <x v="10"/>
  </r>
  <r>
    <x v="870"/>
    <x v="178"/>
    <x v="870"/>
    <x v="0"/>
    <x v="17"/>
    <x v="0"/>
    <n v="2"/>
    <n v="30"/>
    <x v="17"/>
  </r>
  <r>
    <x v="871"/>
    <x v="120"/>
    <x v="871"/>
    <x v="1"/>
    <x v="7"/>
    <x v="0"/>
    <n v="3"/>
    <n v="25"/>
    <x v="8"/>
  </r>
  <r>
    <x v="872"/>
    <x v="136"/>
    <x v="872"/>
    <x v="1"/>
    <x v="15"/>
    <x v="2"/>
    <n v="4"/>
    <n v="25"/>
    <x v="4"/>
  </r>
  <r>
    <x v="873"/>
    <x v="40"/>
    <x v="873"/>
    <x v="0"/>
    <x v="43"/>
    <x v="0"/>
    <n v="1"/>
    <n v="30"/>
    <x v="2"/>
  </r>
  <r>
    <x v="874"/>
    <x v="298"/>
    <x v="874"/>
    <x v="1"/>
    <x v="25"/>
    <x v="2"/>
    <n v="4"/>
    <n v="500"/>
    <x v="11"/>
  </r>
  <r>
    <x v="875"/>
    <x v="153"/>
    <x v="875"/>
    <x v="0"/>
    <x v="22"/>
    <x v="1"/>
    <n v="4"/>
    <n v="30"/>
    <x v="10"/>
  </r>
  <r>
    <x v="876"/>
    <x v="171"/>
    <x v="876"/>
    <x v="1"/>
    <x v="26"/>
    <x v="1"/>
    <n v="1"/>
    <n v="25"/>
    <x v="16"/>
  </r>
  <r>
    <x v="877"/>
    <x v="313"/>
    <x v="877"/>
    <x v="1"/>
    <x v="29"/>
    <x v="1"/>
    <n v="1"/>
    <n v="30"/>
    <x v="2"/>
  </r>
  <r>
    <x v="878"/>
    <x v="24"/>
    <x v="878"/>
    <x v="0"/>
    <x v="9"/>
    <x v="1"/>
    <n v="1"/>
    <n v="30"/>
    <x v="2"/>
  </r>
  <r>
    <x v="879"/>
    <x v="63"/>
    <x v="879"/>
    <x v="0"/>
    <x v="11"/>
    <x v="0"/>
    <n v="2"/>
    <n v="500"/>
    <x v="1"/>
  </r>
  <r>
    <x v="880"/>
    <x v="79"/>
    <x v="880"/>
    <x v="0"/>
    <x v="11"/>
    <x v="2"/>
    <n v="1"/>
    <n v="300"/>
    <x v="13"/>
  </r>
  <r>
    <x v="881"/>
    <x v="264"/>
    <x v="881"/>
    <x v="1"/>
    <x v="12"/>
    <x v="2"/>
    <n v="2"/>
    <n v="25"/>
    <x v="5"/>
  </r>
  <r>
    <x v="882"/>
    <x v="119"/>
    <x v="882"/>
    <x v="0"/>
    <x v="30"/>
    <x v="2"/>
    <n v="1"/>
    <n v="500"/>
    <x v="3"/>
  </r>
  <r>
    <x v="883"/>
    <x v="310"/>
    <x v="883"/>
    <x v="1"/>
    <x v="1"/>
    <x v="1"/>
    <n v="2"/>
    <n v="30"/>
    <x v="17"/>
  </r>
  <r>
    <x v="884"/>
    <x v="163"/>
    <x v="884"/>
    <x v="1"/>
    <x v="8"/>
    <x v="1"/>
    <n v="4"/>
    <n v="30"/>
    <x v="10"/>
  </r>
  <r>
    <x v="885"/>
    <x v="55"/>
    <x v="885"/>
    <x v="0"/>
    <x v="3"/>
    <x v="2"/>
    <n v="3"/>
    <n v="300"/>
    <x v="12"/>
  </r>
  <r>
    <x v="886"/>
    <x v="86"/>
    <x v="886"/>
    <x v="0"/>
    <x v="42"/>
    <x v="1"/>
    <n v="4"/>
    <n v="25"/>
    <x v="4"/>
  </r>
  <r>
    <x v="887"/>
    <x v="163"/>
    <x v="887"/>
    <x v="1"/>
    <x v="8"/>
    <x v="2"/>
    <n v="4"/>
    <n v="25"/>
    <x v="4"/>
  </r>
  <r>
    <x v="888"/>
    <x v="45"/>
    <x v="888"/>
    <x v="1"/>
    <x v="10"/>
    <x v="2"/>
    <n v="1"/>
    <n v="50"/>
    <x v="5"/>
  </r>
  <r>
    <x v="889"/>
    <x v="156"/>
    <x v="889"/>
    <x v="0"/>
    <x v="0"/>
    <x v="2"/>
    <n v="2"/>
    <n v="25"/>
    <x v="5"/>
  </r>
  <r>
    <x v="890"/>
    <x v="334"/>
    <x v="890"/>
    <x v="0"/>
    <x v="41"/>
    <x v="2"/>
    <n v="3"/>
    <n v="300"/>
    <x v="12"/>
  </r>
  <r>
    <x v="891"/>
    <x v="55"/>
    <x v="891"/>
    <x v="0"/>
    <x v="29"/>
    <x v="2"/>
    <n v="1"/>
    <n v="50"/>
    <x v="5"/>
  </r>
  <r>
    <x v="892"/>
    <x v="35"/>
    <x v="892"/>
    <x v="0"/>
    <x v="19"/>
    <x v="2"/>
    <n v="1"/>
    <n v="50"/>
    <x v="5"/>
  </r>
  <r>
    <x v="893"/>
    <x v="328"/>
    <x v="893"/>
    <x v="0"/>
    <x v="8"/>
    <x v="2"/>
    <n v="1"/>
    <n v="30"/>
    <x v="2"/>
  </r>
  <r>
    <x v="894"/>
    <x v="247"/>
    <x v="894"/>
    <x v="1"/>
    <x v="28"/>
    <x v="1"/>
    <n v="4"/>
    <n v="30"/>
    <x v="10"/>
  </r>
  <r>
    <x v="895"/>
    <x v="28"/>
    <x v="895"/>
    <x v="1"/>
    <x v="4"/>
    <x v="2"/>
    <n v="2"/>
    <n v="25"/>
    <x v="5"/>
  </r>
  <r>
    <x v="896"/>
    <x v="335"/>
    <x v="896"/>
    <x v="1"/>
    <x v="12"/>
    <x v="2"/>
    <n v="2"/>
    <n v="50"/>
    <x v="4"/>
  </r>
  <r>
    <x v="897"/>
    <x v="113"/>
    <x v="897"/>
    <x v="1"/>
    <x v="13"/>
    <x v="1"/>
    <n v="3"/>
    <n v="30"/>
    <x v="15"/>
  </r>
  <r>
    <x v="898"/>
    <x v="242"/>
    <x v="898"/>
    <x v="0"/>
    <x v="1"/>
    <x v="1"/>
    <n v="2"/>
    <n v="300"/>
    <x v="6"/>
  </r>
  <r>
    <x v="899"/>
    <x v="62"/>
    <x v="899"/>
    <x v="0"/>
    <x v="34"/>
    <x v="1"/>
    <n v="2"/>
    <n v="30"/>
    <x v="17"/>
  </r>
  <r>
    <x v="900"/>
    <x v="294"/>
    <x v="900"/>
    <x v="0"/>
    <x v="33"/>
    <x v="2"/>
    <n v="1"/>
    <n v="30"/>
    <x v="2"/>
  </r>
  <r>
    <x v="901"/>
    <x v="207"/>
    <x v="901"/>
    <x v="1"/>
    <x v="31"/>
    <x v="0"/>
    <n v="1"/>
    <n v="50"/>
    <x v="5"/>
  </r>
  <r>
    <x v="902"/>
    <x v="60"/>
    <x v="902"/>
    <x v="1"/>
    <x v="25"/>
    <x v="0"/>
    <n v="4"/>
    <n v="50"/>
    <x v="7"/>
  </r>
  <r>
    <x v="903"/>
    <x v="336"/>
    <x v="903"/>
    <x v="0"/>
    <x v="20"/>
    <x v="1"/>
    <n v="1"/>
    <n v="500"/>
    <x v="3"/>
  </r>
  <r>
    <x v="904"/>
    <x v="128"/>
    <x v="904"/>
    <x v="0"/>
    <x v="26"/>
    <x v="0"/>
    <n v="1"/>
    <n v="300"/>
    <x v="13"/>
  </r>
  <r>
    <x v="905"/>
    <x v="234"/>
    <x v="905"/>
    <x v="1"/>
    <x v="29"/>
    <x v="1"/>
    <n v="1"/>
    <n v="50"/>
    <x v="5"/>
  </r>
  <r>
    <x v="906"/>
    <x v="199"/>
    <x v="906"/>
    <x v="1"/>
    <x v="5"/>
    <x v="2"/>
    <n v="1"/>
    <n v="25"/>
    <x v="16"/>
  </r>
  <r>
    <x v="907"/>
    <x v="167"/>
    <x v="907"/>
    <x v="0"/>
    <x v="6"/>
    <x v="0"/>
    <n v="4"/>
    <n v="300"/>
    <x v="14"/>
  </r>
  <r>
    <x v="908"/>
    <x v="77"/>
    <x v="908"/>
    <x v="0"/>
    <x v="1"/>
    <x v="2"/>
    <n v="1"/>
    <n v="300"/>
    <x v="13"/>
  </r>
  <r>
    <x v="909"/>
    <x v="149"/>
    <x v="909"/>
    <x v="1"/>
    <x v="29"/>
    <x v="0"/>
    <n v="3"/>
    <n v="50"/>
    <x v="0"/>
  </r>
  <r>
    <x v="910"/>
    <x v="3"/>
    <x v="910"/>
    <x v="0"/>
    <x v="13"/>
    <x v="2"/>
    <n v="3"/>
    <n v="300"/>
    <x v="12"/>
  </r>
  <r>
    <x v="911"/>
    <x v="58"/>
    <x v="911"/>
    <x v="0"/>
    <x v="25"/>
    <x v="0"/>
    <n v="3"/>
    <n v="50"/>
    <x v="0"/>
  </r>
  <r>
    <x v="912"/>
    <x v="185"/>
    <x v="912"/>
    <x v="0"/>
    <x v="38"/>
    <x v="2"/>
    <n v="3"/>
    <n v="30"/>
    <x v="15"/>
  </r>
  <r>
    <x v="913"/>
    <x v="120"/>
    <x v="913"/>
    <x v="1"/>
    <x v="42"/>
    <x v="2"/>
    <n v="1"/>
    <n v="500"/>
    <x v="3"/>
  </r>
  <r>
    <x v="914"/>
    <x v="337"/>
    <x v="914"/>
    <x v="1"/>
    <x v="1"/>
    <x v="0"/>
    <n v="3"/>
    <n v="30"/>
    <x v="15"/>
  </r>
  <r>
    <x v="915"/>
    <x v="32"/>
    <x v="915"/>
    <x v="1"/>
    <x v="40"/>
    <x v="2"/>
    <n v="1"/>
    <n v="50"/>
    <x v="5"/>
  </r>
  <r>
    <x v="916"/>
    <x v="149"/>
    <x v="916"/>
    <x v="1"/>
    <x v="35"/>
    <x v="2"/>
    <n v="4"/>
    <n v="50"/>
    <x v="7"/>
  </r>
  <r>
    <x v="917"/>
    <x v="250"/>
    <x v="917"/>
    <x v="1"/>
    <x v="13"/>
    <x v="2"/>
    <n v="3"/>
    <n v="30"/>
    <x v="15"/>
  </r>
  <r>
    <x v="918"/>
    <x v="331"/>
    <x v="918"/>
    <x v="1"/>
    <x v="11"/>
    <x v="0"/>
    <n v="2"/>
    <n v="25"/>
    <x v="5"/>
  </r>
  <r>
    <x v="919"/>
    <x v="7"/>
    <x v="919"/>
    <x v="1"/>
    <x v="20"/>
    <x v="0"/>
    <n v="3"/>
    <n v="25"/>
    <x v="8"/>
  </r>
  <r>
    <x v="920"/>
    <x v="326"/>
    <x v="920"/>
    <x v="0"/>
    <x v="25"/>
    <x v="2"/>
    <n v="3"/>
    <n v="25"/>
    <x v="8"/>
  </r>
  <r>
    <x v="921"/>
    <x v="338"/>
    <x v="921"/>
    <x v="0"/>
    <x v="41"/>
    <x v="2"/>
    <n v="1"/>
    <n v="50"/>
    <x v="5"/>
  </r>
  <r>
    <x v="922"/>
    <x v="232"/>
    <x v="922"/>
    <x v="0"/>
    <x v="40"/>
    <x v="0"/>
    <n v="3"/>
    <n v="300"/>
    <x v="12"/>
  </r>
  <r>
    <x v="923"/>
    <x v="261"/>
    <x v="923"/>
    <x v="0"/>
    <x v="28"/>
    <x v="0"/>
    <n v="2"/>
    <n v="50"/>
    <x v="4"/>
  </r>
  <r>
    <x v="924"/>
    <x v="339"/>
    <x v="924"/>
    <x v="0"/>
    <x v="36"/>
    <x v="2"/>
    <n v="1"/>
    <n v="300"/>
    <x v="13"/>
  </r>
  <r>
    <x v="925"/>
    <x v="306"/>
    <x v="925"/>
    <x v="0"/>
    <x v="11"/>
    <x v="2"/>
    <n v="1"/>
    <n v="30"/>
    <x v="2"/>
  </r>
  <r>
    <x v="926"/>
    <x v="33"/>
    <x v="926"/>
    <x v="0"/>
    <x v="22"/>
    <x v="2"/>
    <n v="4"/>
    <n v="500"/>
    <x v="11"/>
  </r>
  <r>
    <x v="927"/>
    <x v="334"/>
    <x v="927"/>
    <x v="1"/>
    <x v="10"/>
    <x v="1"/>
    <n v="4"/>
    <n v="300"/>
    <x v="14"/>
  </r>
  <r>
    <x v="928"/>
    <x v="246"/>
    <x v="928"/>
    <x v="1"/>
    <x v="9"/>
    <x v="0"/>
    <n v="3"/>
    <n v="25"/>
    <x v="8"/>
  </r>
  <r>
    <x v="929"/>
    <x v="318"/>
    <x v="929"/>
    <x v="0"/>
    <x v="31"/>
    <x v="1"/>
    <n v="4"/>
    <n v="50"/>
    <x v="7"/>
  </r>
  <r>
    <x v="930"/>
    <x v="211"/>
    <x v="930"/>
    <x v="0"/>
    <x v="4"/>
    <x v="0"/>
    <n v="4"/>
    <n v="30"/>
    <x v="10"/>
  </r>
  <r>
    <x v="931"/>
    <x v="122"/>
    <x v="931"/>
    <x v="1"/>
    <x v="5"/>
    <x v="0"/>
    <n v="4"/>
    <n v="25"/>
    <x v="4"/>
  </r>
  <r>
    <x v="932"/>
    <x v="89"/>
    <x v="932"/>
    <x v="0"/>
    <x v="11"/>
    <x v="0"/>
    <n v="1"/>
    <n v="30"/>
    <x v="2"/>
  </r>
  <r>
    <x v="933"/>
    <x v="87"/>
    <x v="933"/>
    <x v="0"/>
    <x v="4"/>
    <x v="0"/>
    <n v="1"/>
    <n v="500"/>
    <x v="3"/>
  </r>
  <r>
    <x v="934"/>
    <x v="331"/>
    <x v="934"/>
    <x v="1"/>
    <x v="0"/>
    <x v="0"/>
    <n v="1"/>
    <n v="50"/>
    <x v="5"/>
  </r>
  <r>
    <x v="935"/>
    <x v="227"/>
    <x v="935"/>
    <x v="0"/>
    <x v="35"/>
    <x v="0"/>
    <n v="4"/>
    <n v="50"/>
    <x v="7"/>
  </r>
  <r>
    <x v="936"/>
    <x v="54"/>
    <x v="936"/>
    <x v="1"/>
    <x v="17"/>
    <x v="0"/>
    <n v="1"/>
    <n v="500"/>
    <x v="3"/>
  </r>
  <r>
    <x v="937"/>
    <x v="292"/>
    <x v="937"/>
    <x v="0"/>
    <x v="19"/>
    <x v="1"/>
    <n v="4"/>
    <n v="50"/>
    <x v="7"/>
  </r>
  <r>
    <x v="938"/>
    <x v="244"/>
    <x v="938"/>
    <x v="1"/>
    <x v="6"/>
    <x v="2"/>
    <n v="1"/>
    <n v="300"/>
    <x v="13"/>
  </r>
  <r>
    <x v="939"/>
    <x v="185"/>
    <x v="939"/>
    <x v="1"/>
    <x v="29"/>
    <x v="2"/>
    <n v="1"/>
    <n v="30"/>
    <x v="2"/>
  </r>
  <r>
    <x v="940"/>
    <x v="309"/>
    <x v="940"/>
    <x v="1"/>
    <x v="35"/>
    <x v="1"/>
    <n v="2"/>
    <n v="25"/>
    <x v="5"/>
  </r>
  <r>
    <x v="941"/>
    <x v="253"/>
    <x v="941"/>
    <x v="0"/>
    <x v="25"/>
    <x v="1"/>
    <n v="3"/>
    <n v="500"/>
    <x v="9"/>
  </r>
  <r>
    <x v="942"/>
    <x v="230"/>
    <x v="942"/>
    <x v="1"/>
    <x v="35"/>
    <x v="1"/>
    <n v="4"/>
    <n v="300"/>
    <x v="14"/>
  </r>
  <r>
    <x v="943"/>
    <x v="284"/>
    <x v="943"/>
    <x v="0"/>
    <x v="24"/>
    <x v="1"/>
    <n v="2"/>
    <n v="25"/>
    <x v="5"/>
  </r>
  <r>
    <x v="944"/>
    <x v="146"/>
    <x v="944"/>
    <x v="0"/>
    <x v="4"/>
    <x v="0"/>
    <n v="1"/>
    <n v="25"/>
    <x v="16"/>
  </r>
  <r>
    <x v="945"/>
    <x v="193"/>
    <x v="945"/>
    <x v="0"/>
    <x v="17"/>
    <x v="2"/>
    <n v="4"/>
    <n v="500"/>
    <x v="11"/>
  </r>
  <r>
    <x v="946"/>
    <x v="340"/>
    <x v="946"/>
    <x v="0"/>
    <x v="2"/>
    <x v="0"/>
    <n v="1"/>
    <n v="300"/>
    <x v="13"/>
  </r>
  <r>
    <x v="947"/>
    <x v="81"/>
    <x v="947"/>
    <x v="1"/>
    <x v="9"/>
    <x v="2"/>
    <n v="3"/>
    <n v="25"/>
    <x v="8"/>
  </r>
  <r>
    <x v="948"/>
    <x v="341"/>
    <x v="948"/>
    <x v="1"/>
    <x v="41"/>
    <x v="2"/>
    <n v="2"/>
    <n v="25"/>
    <x v="5"/>
  </r>
  <r>
    <x v="949"/>
    <x v="155"/>
    <x v="949"/>
    <x v="0"/>
    <x v="32"/>
    <x v="1"/>
    <n v="3"/>
    <n v="300"/>
    <x v="12"/>
  </r>
  <r>
    <x v="950"/>
    <x v="113"/>
    <x v="950"/>
    <x v="0"/>
    <x v="44"/>
    <x v="0"/>
    <n v="2"/>
    <n v="50"/>
    <x v="4"/>
  </r>
  <r>
    <x v="951"/>
    <x v="52"/>
    <x v="951"/>
    <x v="1"/>
    <x v="35"/>
    <x v="1"/>
    <n v="1"/>
    <n v="25"/>
    <x v="16"/>
  </r>
  <r>
    <x v="952"/>
    <x v="164"/>
    <x v="952"/>
    <x v="0"/>
    <x v="5"/>
    <x v="0"/>
    <n v="3"/>
    <n v="30"/>
    <x v="15"/>
  </r>
  <r>
    <x v="953"/>
    <x v="223"/>
    <x v="953"/>
    <x v="1"/>
    <x v="2"/>
    <x v="2"/>
    <n v="3"/>
    <n v="300"/>
    <x v="12"/>
  </r>
  <r>
    <x v="954"/>
    <x v="37"/>
    <x v="954"/>
    <x v="0"/>
    <x v="26"/>
    <x v="1"/>
    <n v="1"/>
    <n v="25"/>
    <x v="16"/>
  </r>
  <r>
    <x v="955"/>
    <x v="304"/>
    <x v="955"/>
    <x v="0"/>
    <x v="4"/>
    <x v="1"/>
    <n v="3"/>
    <n v="500"/>
    <x v="9"/>
  </r>
  <r>
    <x v="956"/>
    <x v="196"/>
    <x v="956"/>
    <x v="1"/>
    <x v="43"/>
    <x v="2"/>
    <n v="4"/>
    <n v="30"/>
    <x v="10"/>
  </r>
  <r>
    <x v="957"/>
    <x v="132"/>
    <x v="957"/>
    <x v="0"/>
    <x v="17"/>
    <x v="2"/>
    <n v="2"/>
    <n v="25"/>
    <x v="5"/>
  </r>
  <r>
    <x v="958"/>
    <x v="28"/>
    <x v="958"/>
    <x v="1"/>
    <x v="13"/>
    <x v="2"/>
    <n v="2"/>
    <n v="30"/>
    <x v="17"/>
  </r>
  <r>
    <x v="959"/>
    <x v="102"/>
    <x v="959"/>
    <x v="0"/>
    <x v="42"/>
    <x v="1"/>
    <n v="2"/>
    <n v="30"/>
    <x v="17"/>
  </r>
  <r>
    <x v="960"/>
    <x v="264"/>
    <x v="960"/>
    <x v="0"/>
    <x v="45"/>
    <x v="0"/>
    <n v="4"/>
    <n v="50"/>
    <x v="7"/>
  </r>
  <r>
    <x v="961"/>
    <x v="218"/>
    <x v="961"/>
    <x v="0"/>
    <x v="24"/>
    <x v="1"/>
    <n v="2"/>
    <n v="30"/>
    <x v="17"/>
  </r>
  <r>
    <x v="962"/>
    <x v="220"/>
    <x v="962"/>
    <x v="1"/>
    <x v="28"/>
    <x v="0"/>
    <n v="1"/>
    <n v="50"/>
    <x v="5"/>
  </r>
  <r>
    <x v="963"/>
    <x v="169"/>
    <x v="963"/>
    <x v="0"/>
    <x v="46"/>
    <x v="1"/>
    <n v="3"/>
    <n v="300"/>
    <x v="12"/>
  </r>
  <r>
    <x v="964"/>
    <x v="289"/>
    <x v="964"/>
    <x v="0"/>
    <x v="11"/>
    <x v="1"/>
    <n v="4"/>
    <n v="50"/>
    <x v="7"/>
  </r>
  <r>
    <x v="965"/>
    <x v="189"/>
    <x v="965"/>
    <x v="0"/>
    <x v="43"/>
    <x v="2"/>
    <n v="2"/>
    <n v="500"/>
    <x v="1"/>
  </r>
  <r>
    <x v="966"/>
    <x v="342"/>
    <x v="966"/>
    <x v="0"/>
    <x v="17"/>
    <x v="0"/>
    <n v="1"/>
    <n v="25"/>
    <x v="16"/>
  </r>
  <r>
    <x v="967"/>
    <x v="131"/>
    <x v="967"/>
    <x v="1"/>
    <x v="27"/>
    <x v="1"/>
    <n v="3"/>
    <n v="300"/>
    <x v="12"/>
  </r>
  <r>
    <x v="968"/>
    <x v="90"/>
    <x v="968"/>
    <x v="1"/>
    <x v="30"/>
    <x v="1"/>
    <n v="3"/>
    <n v="300"/>
    <x v="12"/>
  </r>
  <r>
    <x v="969"/>
    <x v="42"/>
    <x v="969"/>
    <x v="0"/>
    <x v="42"/>
    <x v="2"/>
    <n v="4"/>
    <n v="500"/>
    <x v="11"/>
  </r>
  <r>
    <x v="970"/>
    <x v="59"/>
    <x v="970"/>
    <x v="1"/>
    <x v="15"/>
    <x v="2"/>
    <n v="4"/>
    <n v="50"/>
    <x v="7"/>
  </r>
  <r>
    <x v="971"/>
    <x v="213"/>
    <x v="971"/>
    <x v="0"/>
    <x v="19"/>
    <x v="0"/>
    <n v="4"/>
    <n v="25"/>
    <x v="4"/>
  </r>
  <r>
    <x v="972"/>
    <x v="125"/>
    <x v="972"/>
    <x v="0"/>
    <x v="43"/>
    <x v="1"/>
    <n v="1"/>
    <n v="50"/>
    <x v="5"/>
  </r>
  <r>
    <x v="973"/>
    <x v="143"/>
    <x v="973"/>
    <x v="0"/>
    <x v="16"/>
    <x v="0"/>
    <n v="1"/>
    <n v="30"/>
    <x v="2"/>
  </r>
  <r>
    <x v="974"/>
    <x v="343"/>
    <x v="974"/>
    <x v="1"/>
    <x v="37"/>
    <x v="1"/>
    <n v="4"/>
    <n v="50"/>
    <x v="7"/>
  </r>
  <r>
    <x v="975"/>
    <x v="49"/>
    <x v="975"/>
    <x v="1"/>
    <x v="27"/>
    <x v="0"/>
    <n v="2"/>
    <n v="300"/>
    <x v="6"/>
  </r>
  <r>
    <x v="976"/>
    <x v="195"/>
    <x v="976"/>
    <x v="1"/>
    <x v="10"/>
    <x v="2"/>
    <n v="3"/>
    <n v="25"/>
    <x v="8"/>
  </r>
  <r>
    <x v="977"/>
    <x v="125"/>
    <x v="977"/>
    <x v="1"/>
    <x v="45"/>
    <x v="1"/>
    <n v="3"/>
    <n v="50"/>
    <x v="0"/>
  </r>
  <r>
    <x v="978"/>
    <x v="126"/>
    <x v="978"/>
    <x v="1"/>
    <x v="14"/>
    <x v="0"/>
    <n v="1"/>
    <n v="25"/>
    <x v="16"/>
  </r>
  <r>
    <x v="979"/>
    <x v="277"/>
    <x v="979"/>
    <x v="1"/>
    <x v="33"/>
    <x v="2"/>
    <n v="3"/>
    <n v="25"/>
    <x v="8"/>
  </r>
  <r>
    <x v="980"/>
    <x v="304"/>
    <x v="980"/>
    <x v="1"/>
    <x v="4"/>
    <x v="2"/>
    <n v="2"/>
    <n v="30"/>
    <x v="17"/>
  </r>
  <r>
    <x v="981"/>
    <x v="80"/>
    <x v="981"/>
    <x v="1"/>
    <x v="6"/>
    <x v="0"/>
    <n v="3"/>
    <n v="30"/>
    <x v="15"/>
  </r>
  <r>
    <x v="982"/>
    <x v="215"/>
    <x v="982"/>
    <x v="1"/>
    <x v="38"/>
    <x v="1"/>
    <n v="1"/>
    <n v="300"/>
    <x v="13"/>
  </r>
  <r>
    <x v="983"/>
    <x v="261"/>
    <x v="983"/>
    <x v="0"/>
    <x v="37"/>
    <x v="1"/>
    <n v="1"/>
    <n v="500"/>
    <x v="3"/>
  </r>
  <r>
    <x v="984"/>
    <x v="337"/>
    <x v="984"/>
    <x v="1"/>
    <x v="14"/>
    <x v="2"/>
    <n v="2"/>
    <n v="25"/>
    <x v="5"/>
  </r>
  <r>
    <x v="985"/>
    <x v="13"/>
    <x v="985"/>
    <x v="1"/>
    <x v="19"/>
    <x v="1"/>
    <n v="2"/>
    <n v="500"/>
    <x v="1"/>
  </r>
  <r>
    <x v="986"/>
    <x v="310"/>
    <x v="986"/>
    <x v="1"/>
    <x v="4"/>
    <x v="1"/>
    <n v="3"/>
    <n v="300"/>
    <x v="12"/>
  </r>
  <r>
    <x v="987"/>
    <x v="344"/>
    <x v="987"/>
    <x v="1"/>
    <x v="7"/>
    <x v="1"/>
    <n v="3"/>
    <n v="25"/>
    <x v="8"/>
  </r>
  <r>
    <x v="988"/>
    <x v="251"/>
    <x v="988"/>
    <x v="1"/>
    <x v="24"/>
    <x v="2"/>
    <n v="1"/>
    <n v="25"/>
    <x v="16"/>
  </r>
  <r>
    <x v="989"/>
    <x v="242"/>
    <x v="989"/>
    <x v="1"/>
    <x v="26"/>
    <x v="0"/>
    <n v="2"/>
    <n v="500"/>
    <x v="1"/>
  </r>
  <r>
    <x v="990"/>
    <x v="24"/>
    <x v="990"/>
    <x v="1"/>
    <x v="0"/>
    <x v="1"/>
    <n v="2"/>
    <n v="50"/>
    <x v="4"/>
  </r>
  <r>
    <x v="991"/>
    <x v="63"/>
    <x v="991"/>
    <x v="1"/>
    <x v="35"/>
    <x v="2"/>
    <n v="2"/>
    <n v="30"/>
    <x v="17"/>
  </r>
  <r>
    <x v="992"/>
    <x v="74"/>
    <x v="992"/>
    <x v="1"/>
    <x v="27"/>
    <x v="2"/>
    <n v="3"/>
    <n v="50"/>
    <x v="0"/>
  </r>
  <r>
    <x v="993"/>
    <x v="244"/>
    <x v="993"/>
    <x v="1"/>
    <x v="25"/>
    <x v="0"/>
    <n v="2"/>
    <n v="500"/>
    <x v="1"/>
  </r>
  <r>
    <x v="994"/>
    <x v="17"/>
    <x v="994"/>
    <x v="1"/>
    <x v="41"/>
    <x v="1"/>
    <n v="1"/>
    <n v="30"/>
    <x v="2"/>
  </r>
  <r>
    <x v="995"/>
    <x v="42"/>
    <x v="995"/>
    <x v="0"/>
    <x v="17"/>
    <x v="1"/>
    <n v="1"/>
    <n v="50"/>
    <x v="5"/>
  </r>
  <r>
    <x v="996"/>
    <x v="131"/>
    <x v="996"/>
    <x v="0"/>
    <x v="8"/>
    <x v="0"/>
    <n v="3"/>
    <n v="30"/>
    <x v="15"/>
  </r>
  <r>
    <x v="997"/>
    <x v="28"/>
    <x v="997"/>
    <x v="1"/>
    <x v="9"/>
    <x v="0"/>
    <n v="4"/>
    <n v="25"/>
    <x v="4"/>
  </r>
  <r>
    <x v="998"/>
    <x v="59"/>
    <x v="998"/>
    <x v="1"/>
    <x v="32"/>
    <x v="2"/>
    <n v="3"/>
    <n v="50"/>
    <x v="0"/>
  </r>
  <r>
    <x v="999"/>
    <x v="22"/>
    <x v="999"/>
    <x v="0"/>
    <x v="16"/>
    <x v="2"/>
    <n v="4"/>
    <n v="30"/>
    <x v="1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d v="2023-11-24T00:00:00"/>
    <x v="0"/>
    <x v="0"/>
    <x v="0"/>
    <x v="0"/>
    <n v="3"/>
    <n v="50"/>
    <x v="0"/>
    <x v="0"/>
  </r>
  <r>
    <x v="1"/>
    <d v="2023-02-27T00:00:00"/>
    <x v="1"/>
    <x v="1"/>
    <x v="1"/>
    <x v="1"/>
    <n v="2"/>
    <n v="500"/>
    <x v="1"/>
    <x v="0"/>
  </r>
  <r>
    <x v="2"/>
    <d v="2023-01-13T00:00:00"/>
    <x v="2"/>
    <x v="0"/>
    <x v="2"/>
    <x v="2"/>
    <n v="1"/>
    <n v="30"/>
    <x v="2"/>
    <x v="1"/>
  </r>
  <r>
    <x v="3"/>
    <d v="2023-05-21T00:00:00"/>
    <x v="3"/>
    <x v="0"/>
    <x v="3"/>
    <x v="1"/>
    <n v="1"/>
    <n v="500"/>
    <x v="3"/>
    <x v="2"/>
  </r>
  <r>
    <x v="4"/>
    <d v="2023-05-06T00:00:00"/>
    <x v="4"/>
    <x v="0"/>
    <x v="4"/>
    <x v="0"/>
    <n v="2"/>
    <n v="50"/>
    <x v="4"/>
    <x v="0"/>
  </r>
  <r>
    <x v="5"/>
    <d v="2023-04-25T00:00:00"/>
    <x v="5"/>
    <x v="1"/>
    <x v="5"/>
    <x v="0"/>
    <n v="1"/>
    <n v="30"/>
    <x v="2"/>
    <x v="2"/>
  </r>
  <r>
    <x v="6"/>
    <d v="2023-03-13T00:00:00"/>
    <x v="6"/>
    <x v="0"/>
    <x v="6"/>
    <x v="1"/>
    <n v="2"/>
    <n v="25"/>
    <x v="5"/>
    <x v="1"/>
  </r>
  <r>
    <x v="7"/>
    <d v="2023-02-22T00:00:00"/>
    <x v="7"/>
    <x v="0"/>
    <x v="4"/>
    <x v="2"/>
    <n v="4"/>
    <n v="25"/>
    <x v="4"/>
    <x v="0"/>
  </r>
  <r>
    <x v="8"/>
    <d v="2023-12-13T00:00:00"/>
    <x v="8"/>
    <x v="0"/>
    <x v="7"/>
    <x v="2"/>
    <n v="2"/>
    <n v="300"/>
    <x v="6"/>
    <x v="3"/>
  </r>
  <r>
    <x v="9"/>
    <d v="2023-10-07T00:00:00"/>
    <x v="9"/>
    <x v="1"/>
    <x v="8"/>
    <x v="1"/>
    <n v="4"/>
    <n v="50"/>
    <x v="7"/>
    <x v="1"/>
  </r>
  <r>
    <x v="10"/>
    <d v="2023-02-14T00:00:00"/>
    <x v="10"/>
    <x v="0"/>
    <x v="9"/>
    <x v="1"/>
    <n v="2"/>
    <n v="50"/>
    <x v="4"/>
    <x v="4"/>
  </r>
  <r>
    <x v="11"/>
    <d v="2023-10-30T00:00:00"/>
    <x v="11"/>
    <x v="0"/>
    <x v="10"/>
    <x v="0"/>
    <n v="3"/>
    <n v="25"/>
    <x v="8"/>
    <x v="0"/>
  </r>
  <r>
    <x v="12"/>
    <d v="2023-08-05T00:00:00"/>
    <x v="12"/>
    <x v="0"/>
    <x v="11"/>
    <x v="2"/>
    <n v="3"/>
    <n v="500"/>
    <x v="9"/>
    <x v="4"/>
  </r>
  <r>
    <x v="13"/>
    <d v="2023-01-17T00:00:00"/>
    <x v="13"/>
    <x v="0"/>
    <x v="12"/>
    <x v="1"/>
    <n v="4"/>
    <n v="30"/>
    <x v="10"/>
    <x v="3"/>
  </r>
  <r>
    <x v="14"/>
    <d v="2023-01-16T00:00:00"/>
    <x v="14"/>
    <x v="1"/>
    <x v="13"/>
    <x v="2"/>
    <n v="4"/>
    <n v="500"/>
    <x v="11"/>
    <x v="2"/>
  </r>
  <r>
    <x v="15"/>
    <d v="2023-02-17T00:00:00"/>
    <x v="15"/>
    <x v="0"/>
    <x v="14"/>
    <x v="1"/>
    <n v="3"/>
    <n v="500"/>
    <x v="9"/>
    <x v="4"/>
  </r>
  <r>
    <x v="16"/>
    <d v="2023-04-22T00:00:00"/>
    <x v="16"/>
    <x v="1"/>
    <x v="15"/>
    <x v="1"/>
    <n v="4"/>
    <n v="25"/>
    <x v="4"/>
    <x v="0"/>
  </r>
  <r>
    <x v="17"/>
    <d v="2023-04-30T00:00:00"/>
    <x v="17"/>
    <x v="1"/>
    <x v="16"/>
    <x v="2"/>
    <n v="2"/>
    <n v="25"/>
    <x v="5"/>
    <x v="1"/>
  </r>
  <r>
    <x v="18"/>
    <d v="2023-09-16T00:00:00"/>
    <x v="18"/>
    <x v="1"/>
    <x v="17"/>
    <x v="1"/>
    <n v="2"/>
    <n v="25"/>
    <x v="5"/>
    <x v="3"/>
  </r>
  <r>
    <x v="19"/>
    <d v="2023-11-05T00:00:00"/>
    <x v="19"/>
    <x v="0"/>
    <x v="11"/>
    <x v="1"/>
    <n v="3"/>
    <n v="300"/>
    <x v="12"/>
    <x v="4"/>
  </r>
  <r>
    <x v="20"/>
    <d v="2023-01-14T00:00:00"/>
    <x v="20"/>
    <x v="1"/>
    <x v="2"/>
    <x v="0"/>
    <n v="1"/>
    <n v="500"/>
    <x v="3"/>
    <x v="1"/>
  </r>
  <r>
    <x v="21"/>
    <d v="2023-10-15T00:00:00"/>
    <x v="21"/>
    <x v="0"/>
    <x v="18"/>
    <x v="1"/>
    <n v="2"/>
    <n v="50"/>
    <x v="4"/>
    <x v="4"/>
  </r>
  <r>
    <x v="22"/>
    <d v="2023-04-12T00:00:00"/>
    <x v="22"/>
    <x v="1"/>
    <x v="10"/>
    <x v="1"/>
    <n v="4"/>
    <n v="30"/>
    <x v="10"/>
    <x v="0"/>
  </r>
  <r>
    <x v="23"/>
    <d v="2023-11-29T00:00:00"/>
    <x v="23"/>
    <x v="1"/>
    <x v="19"/>
    <x v="1"/>
    <n v="1"/>
    <n v="300"/>
    <x v="13"/>
    <x v="1"/>
  </r>
  <r>
    <x v="24"/>
    <d v="2023-12-26T00:00:00"/>
    <x v="24"/>
    <x v="1"/>
    <x v="12"/>
    <x v="0"/>
    <n v="1"/>
    <n v="50"/>
    <x v="5"/>
    <x v="3"/>
  </r>
  <r>
    <x v="25"/>
    <d v="2023-10-07T00:00:00"/>
    <x v="25"/>
    <x v="1"/>
    <x v="20"/>
    <x v="2"/>
    <n v="2"/>
    <n v="500"/>
    <x v="1"/>
    <x v="0"/>
  </r>
  <r>
    <x v="26"/>
    <d v="2023-08-03T00:00:00"/>
    <x v="26"/>
    <x v="1"/>
    <x v="21"/>
    <x v="0"/>
    <n v="2"/>
    <n v="25"/>
    <x v="5"/>
    <x v="2"/>
  </r>
  <r>
    <x v="27"/>
    <d v="2023-04-23T00:00:00"/>
    <x v="27"/>
    <x v="1"/>
    <x v="22"/>
    <x v="0"/>
    <n v="1"/>
    <n v="500"/>
    <x v="3"/>
    <x v="2"/>
  </r>
  <r>
    <x v="28"/>
    <d v="2023-08-18T00:00:00"/>
    <x v="28"/>
    <x v="1"/>
    <x v="13"/>
    <x v="2"/>
    <n v="1"/>
    <n v="30"/>
    <x v="2"/>
    <x v="2"/>
  </r>
  <r>
    <x v="29"/>
    <d v="2023-10-29T00:00:00"/>
    <x v="29"/>
    <x v="1"/>
    <x v="23"/>
    <x v="0"/>
    <n v="3"/>
    <n v="300"/>
    <x v="12"/>
    <x v="2"/>
  </r>
  <r>
    <x v="30"/>
    <d v="2023-05-23T00:00:00"/>
    <x v="30"/>
    <x v="0"/>
    <x v="24"/>
    <x v="2"/>
    <n v="4"/>
    <n v="300"/>
    <x v="14"/>
    <x v="2"/>
  </r>
  <r>
    <x v="31"/>
    <d v="2023-01-04T00:00:00"/>
    <x v="31"/>
    <x v="0"/>
    <x v="4"/>
    <x v="0"/>
    <n v="3"/>
    <n v="30"/>
    <x v="15"/>
    <x v="0"/>
  </r>
  <r>
    <x v="32"/>
    <d v="2023-03-23T00:00:00"/>
    <x v="32"/>
    <x v="1"/>
    <x v="2"/>
    <x v="2"/>
    <n v="2"/>
    <n v="50"/>
    <x v="4"/>
    <x v="1"/>
  </r>
  <r>
    <x v="33"/>
    <d v="2023-12-24T00:00:00"/>
    <x v="33"/>
    <x v="1"/>
    <x v="25"/>
    <x v="1"/>
    <n v="3"/>
    <n v="50"/>
    <x v="0"/>
    <x v="1"/>
  </r>
  <r>
    <x v="34"/>
    <d v="2023-08-05T00:00:00"/>
    <x v="34"/>
    <x v="1"/>
    <x v="26"/>
    <x v="0"/>
    <n v="3"/>
    <n v="300"/>
    <x v="12"/>
    <x v="1"/>
  </r>
  <r>
    <x v="35"/>
    <d v="2023-06-24T00:00:00"/>
    <x v="35"/>
    <x v="0"/>
    <x v="8"/>
    <x v="0"/>
    <n v="3"/>
    <n v="300"/>
    <x v="12"/>
    <x v="1"/>
  </r>
  <r>
    <x v="36"/>
    <d v="2023-05-23T00:00:00"/>
    <x v="36"/>
    <x v="1"/>
    <x v="18"/>
    <x v="0"/>
    <n v="3"/>
    <n v="25"/>
    <x v="8"/>
    <x v="4"/>
  </r>
  <r>
    <x v="37"/>
    <d v="2023-03-21T00:00:00"/>
    <x v="37"/>
    <x v="0"/>
    <x v="21"/>
    <x v="0"/>
    <n v="4"/>
    <n v="50"/>
    <x v="7"/>
    <x v="2"/>
  </r>
  <r>
    <x v="38"/>
    <d v="2023-04-21T00:00:00"/>
    <x v="38"/>
    <x v="0"/>
    <x v="9"/>
    <x v="1"/>
    <n v="4"/>
    <n v="30"/>
    <x v="10"/>
    <x v="4"/>
  </r>
  <r>
    <x v="39"/>
    <d v="2023-06-22T00:00:00"/>
    <x v="39"/>
    <x v="0"/>
    <x v="5"/>
    <x v="0"/>
    <n v="1"/>
    <n v="50"/>
    <x v="5"/>
    <x v="2"/>
  </r>
  <r>
    <x v="40"/>
    <d v="2023-02-22T00:00:00"/>
    <x v="40"/>
    <x v="0"/>
    <x v="0"/>
    <x v="1"/>
    <n v="2"/>
    <n v="25"/>
    <x v="5"/>
    <x v="0"/>
  </r>
  <r>
    <x v="41"/>
    <d v="2023-02-17T00:00:00"/>
    <x v="41"/>
    <x v="0"/>
    <x v="11"/>
    <x v="1"/>
    <n v="3"/>
    <n v="300"/>
    <x v="12"/>
    <x v="4"/>
  </r>
  <r>
    <x v="42"/>
    <d v="2023-07-14T00:00:00"/>
    <x v="42"/>
    <x v="1"/>
    <x v="27"/>
    <x v="1"/>
    <n v="1"/>
    <n v="300"/>
    <x v="13"/>
    <x v="1"/>
  </r>
  <r>
    <x v="43"/>
    <d v="2023-02-19T00:00:00"/>
    <x v="43"/>
    <x v="1"/>
    <x v="11"/>
    <x v="1"/>
    <n v="1"/>
    <n v="25"/>
    <x v="16"/>
    <x v="4"/>
  </r>
  <r>
    <x v="44"/>
    <d v="2023-07-03T00:00:00"/>
    <x v="44"/>
    <x v="1"/>
    <x v="28"/>
    <x v="2"/>
    <n v="1"/>
    <n v="30"/>
    <x v="2"/>
    <x v="1"/>
  </r>
  <r>
    <x v="45"/>
    <d v="2023-06-26T00:00:00"/>
    <x v="45"/>
    <x v="1"/>
    <x v="29"/>
    <x v="2"/>
    <n v="4"/>
    <n v="300"/>
    <x v="14"/>
    <x v="4"/>
  </r>
  <r>
    <x v="46"/>
    <d v="2023-11-06T00:00:00"/>
    <x v="46"/>
    <x v="1"/>
    <x v="30"/>
    <x v="0"/>
    <n v="3"/>
    <n v="500"/>
    <x v="9"/>
    <x v="2"/>
  </r>
  <r>
    <x v="47"/>
    <d v="2023-05-16T00:00:00"/>
    <x v="47"/>
    <x v="0"/>
    <x v="31"/>
    <x v="2"/>
    <n v="3"/>
    <n v="300"/>
    <x v="12"/>
    <x v="1"/>
  </r>
  <r>
    <x v="48"/>
    <d v="2023-01-23T00:00:00"/>
    <x v="48"/>
    <x v="1"/>
    <x v="31"/>
    <x v="2"/>
    <n v="2"/>
    <n v="500"/>
    <x v="1"/>
    <x v="1"/>
  </r>
  <r>
    <x v="49"/>
    <d v="2023-08-24T00:00:00"/>
    <x v="49"/>
    <x v="1"/>
    <x v="15"/>
    <x v="0"/>
    <n v="3"/>
    <n v="25"/>
    <x v="8"/>
    <x v="0"/>
  </r>
  <r>
    <x v="50"/>
    <d v="2023-10-02T00:00:00"/>
    <x v="50"/>
    <x v="0"/>
    <x v="15"/>
    <x v="0"/>
    <n v="3"/>
    <n v="25"/>
    <x v="8"/>
    <x v="0"/>
  </r>
  <r>
    <x v="51"/>
    <d v="2023-03-05T00:00:00"/>
    <x v="51"/>
    <x v="1"/>
    <x v="32"/>
    <x v="0"/>
    <n v="1"/>
    <n v="300"/>
    <x v="13"/>
    <x v="2"/>
  </r>
  <r>
    <x v="52"/>
    <d v="2023-07-13T00:00:00"/>
    <x v="52"/>
    <x v="0"/>
    <x v="0"/>
    <x v="2"/>
    <n v="2"/>
    <n v="50"/>
    <x v="4"/>
    <x v="0"/>
  </r>
  <r>
    <x v="53"/>
    <d v="2023-02-10T00:00:00"/>
    <x v="53"/>
    <x v="1"/>
    <x v="21"/>
    <x v="2"/>
    <n v="3"/>
    <n v="500"/>
    <x v="9"/>
    <x v="2"/>
  </r>
  <r>
    <x v="54"/>
    <d v="2023-10-10T00:00:00"/>
    <x v="54"/>
    <x v="0"/>
    <x v="33"/>
    <x v="0"/>
    <n v="4"/>
    <n v="30"/>
    <x v="10"/>
    <x v="0"/>
  </r>
  <r>
    <x v="55"/>
    <d v="2023-05-31T00:00:00"/>
    <x v="55"/>
    <x v="1"/>
    <x v="1"/>
    <x v="1"/>
    <n v="3"/>
    <n v="300"/>
    <x v="12"/>
    <x v="0"/>
  </r>
  <r>
    <x v="56"/>
    <d v="2023-11-18T00:00:00"/>
    <x v="56"/>
    <x v="1"/>
    <x v="7"/>
    <x v="0"/>
    <n v="1"/>
    <n v="30"/>
    <x v="2"/>
    <x v="3"/>
  </r>
  <r>
    <x v="57"/>
    <d v="2023-11-13T00:00:00"/>
    <x v="57"/>
    <x v="0"/>
    <x v="18"/>
    <x v="1"/>
    <n v="4"/>
    <n v="300"/>
    <x v="14"/>
    <x v="4"/>
  </r>
  <r>
    <x v="58"/>
    <d v="2023-07-05T00:00:00"/>
    <x v="58"/>
    <x v="0"/>
    <x v="17"/>
    <x v="1"/>
    <n v="1"/>
    <n v="50"/>
    <x v="5"/>
    <x v="3"/>
  </r>
  <r>
    <x v="59"/>
    <d v="2023-10-23T00:00:00"/>
    <x v="59"/>
    <x v="0"/>
    <x v="4"/>
    <x v="0"/>
    <n v="3"/>
    <n v="50"/>
    <x v="0"/>
    <x v="0"/>
  </r>
  <r>
    <x v="60"/>
    <d v="2023-04-09T00:00:00"/>
    <x v="60"/>
    <x v="0"/>
    <x v="34"/>
    <x v="0"/>
    <n v="4"/>
    <n v="50"/>
    <x v="7"/>
    <x v="4"/>
  </r>
  <r>
    <x v="61"/>
    <d v="2023-12-27T00:00:00"/>
    <x v="61"/>
    <x v="0"/>
    <x v="18"/>
    <x v="0"/>
    <n v="2"/>
    <n v="50"/>
    <x v="4"/>
    <x v="4"/>
  </r>
  <r>
    <x v="62"/>
    <d v="2023-02-05T00:00:00"/>
    <x v="62"/>
    <x v="0"/>
    <x v="35"/>
    <x v="2"/>
    <n v="2"/>
    <n v="25"/>
    <x v="5"/>
    <x v="1"/>
  </r>
  <r>
    <x v="63"/>
    <d v="2023-01-24T00:00:00"/>
    <x v="63"/>
    <x v="0"/>
    <x v="19"/>
    <x v="1"/>
    <n v="4"/>
    <n v="25"/>
    <x v="4"/>
    <x v="1"/>
  </r>
  <r>
    <x v="64"/>
    <d v="2023-12-05T00:00:00"/>
    <x v="64"/>
    <x v="0"/>
    <x v="25"/>
    <x v="2"/>
    <n v="4"/>
    <n v="500"/>
    <x v="11"/>
    <x v="1"/>
  </r>
  <r>
    <x v="65"/>
    <d v="2023-04-27T00:00:00"/>
    <x v="65"/>
    <x v="1"/>
    <x v="5"/>
    <x v="2"/>
    <n v="1"/>
    <n v="30"/>
    <x v="2"/>
    <x v="2"/>
  </r>
  <r>
    <x v="66"/>
    <d v="2023-05-29T00:00:00"/>
    <x v="66"/>
    <x v="1"/>
    <x v="27"/>
    <x v="0"/>
    <n v="4"/>
    <n v="300"/>
    <x v="14"/>
    <x v="1"/>
  </r>
  <r>
    <x v="67"/>
    <d v="2023-02-10T00:00:00"/>
    <x v="67"/>
    <x v="0"/>
    <x v="36"/>
    <x v="2"/>
    <n v="1"/>
    <n v="300"/>
    <x v="13"/>
    <x v="4"/>
  </r>
  <r>
    <x v="68"/>
    <d v="2023-04-30T00:00:00"/>
    <x v="68"/>
    <x v="1"/>
    <x v="37"/>
    <x v="0"/>
    <n v="3"/>
    <n v="25"/>
    <x v="8"/>
    <x v="1"/>
  </r>
  <r>
    <x v="69"/>
    <d v="2023-02-21T00:00:00"/>
    <x v="69"/>
    <x v="1"/>
    <x v="22"/>
    <x v="1"/>
    <n v="1"/>
    <n v="300"/>
    <x v="13"/>
    <x v="2"/>
  </r>
  <r>
    <x v="70"/>
    <d v="2023-07-14T00:00:00"/>
    <x v="70"/>
    <x v="1"/>
    <x v="25"/>
    <x v="0"/>
    <n v="4"/>
    <n v="25"/>
    <x v="4"/>
    <x v="1"/>
  </r>
  <r>
    <x v="71"/>
    <d v="2023-05-23T00:00:00"/>
    <x v="71"/>
    <x v="1"/>
    <x v="29"/>
    <x v="2"/>
    <n v="4"/>
    <n v="500"/>
    <x v="11"/>
    <x v="4"/>
  </r>
  <r>
    <x v="72"/>
    <d v="2023-08-21T00:00:00"/>
    <x v="72"/>
    <x v="0"/>
    <x v="38"/>
    <x v="2"/>
    <n v="3"/>
    <n v="30"/>
    <x v="15"/>
    <x v="0"/>
  </r>
  <r>
    <x v="73"/>
    <d v="2023-11-22T00:00:00"/>
    <x v="73"/>
    <x v="1"/>
    <x v="18"/>
    <x v="0"/>
    <n v="4"/>
    <n v="500"/>
    <x v="11"/>
    <x v="4"/>
  </r>
  <r>
    <x v="74"/>
    <d v="2023-07-06T00:00:00"/>
    <x v="74"/>
    <x v="0"/>
    <x v="39"/>
    <x v="0"/>
    <n v="4"/>
    <n v="50"/>
    <x v="7"/>
    <x v="3"/>
  </r>
  <r>
    <x v="75"/>
    <d v="2023-03-25T00:00:00"/>
    <x v="75"/>
    <x v="1"/>
    <x v="11"/>
    <x v="2"/>
    <n v="2"/>
    <n v="50"/>
    <x v="4"/>
    <x v="4"/>
  </r>
  <r>
    <x v="76"/>
    <d v="2023-07-09T00:00:00"/>
    <x v="76"/>
    <x v="1"/>
    <x v="16"/>
    <x v="1"/>
    <n v="2"/>
    <n v="50"/>
    <x v="4"/>
    <x v="1"/>
  </r>
  <r>
    <x v="77"/>
    <d v="2023-07-01T00:00:00"/>
    <x v="77"/>
    <x v="1"/>
    <x v="16"/>
    <x v="1"/>
    <n v="3"/>
    <n v="500"/>
    <x v="9"/>
    <x v="1"/>
  </r>
  <r>
    <x v="78"/>
    <d v="2023-04-18T00:00:00"/>
    <x v="78"/>
    <x v="0"/>
    <x v="0"/>
    <x v="0"/>
    <n v="1"/>
    <n v="300"/>
    <x v="13"/>
    <x v="0"/>
  </r>
  <r>
    <x v="79"/>
    <d v="2023-12-10T00:00:00"/>
    <x v="79"/>
    <x v="1"/>
    <x v="12"/>
    <x v="1"/>
    <n v="2"/>
    <n v="30"/>
    <x v="17"/>
    <x v="3"/>
  </r>
  <r>
    <x v="80"/>
    <d v="2023-05-17T00:00:00"/>
    <x v="80"/>
    <x v="0"/>
    <x v="30"/>
    <x v="2"/>
    <n v="1"/>
    <n v="50"/>
    <x v="5"/>
    <x v="2"/>
  </r>
  <r>
    <x v="81"/>
    <d v="2023-12-26T00:00:00"/>
    <x v="81"/>
    <x v="1"/>
    <x v="40"/>
    <x v="0"/>
    <n v="4"/>
    <n v="50"/>
    <x v="7"/>
    <x v="0"/>
  </r>
  <r>
    <x v="82"/>
    <d v="2023-12-16T00:00:00"/>
    <x v="82"/>
    <x v="0"/>
    <x v="31"/>
    <x v="2"/>
    <n v="2"/>
    <n v="50"/>
    <x v="4"/>
    <x v="1"/>
  </r>
  <r>
    <x v="83"/>
    <d v="2023-11-28T00:00:00"/>
    <x v="83"/>
    <x v="1"/>
    <x v="21"/>
    <x v="2"/>
    <n v="3"/>
    <n v="30"/>
    <x v="15"/>
    <x v="2"/>
  </r>
  <r>
    <x v="84"/>
    <d v="2023-02-06T00:00:00"/>
    <x v="84"/>
    <x v="0"/>
    <x v="33"/>
    <x v="1"/>
    <n v="3"/>
    <n v="50"/>
    <x v="0"/>
    <x v="0"/>
  </r>
  <r>
    <x v="85"/>
    <d v="2023-11-08T00:00:00"/>
    <x v="85"/>
    <x v="0"/>
    <x v="14"/>
    <x v="0"/>
    <n v="3"/>
    <n v="30"/>
    <x v="15"/>
    <x v="4"/>
  </r>
  <r>
    <x v="86"/>
    <d v="2023-11-22T00:00:00"/>
    <x v="86"/>
    <x v="1"/>
    <x v="20"/>
    <x v="0"/>
    <n v="2"/>
    <n v="50"/>
    <x v="4"/>
    <x v="0"/>
  </r>
  <r>
    <x v="87"/>
    <d v="2023-03-29T00:00:00"/>
    <x v="87"/>
    <x v="0"/>
    <x v="37"/>
    <x v="1"/>
    <n v="1"/>
    <n v="500"/>
    <x v="3"/>
    <x v="1"/>
  </r>
  <r>
    <x v="88"/>
    <d v="2023-10-01T00:00:00"/>
    <x v="88"/>
    <x v="1"/>
    <x v="28"/>
    <x v="2"/>
    <n v="4"/>
    <n v="500"/>
    <x v="11"/>
    <x v="1"/>
  </r>
  <r>
    <x v="89"/>
    <d v="2023-05-06T00:00:00"/>
    <x v="89"/>
    <x v="1"/>
    <x v="25"/>
    <x v="2"/>
    <n v="1"/>
    <n v="30"/>
    <x v="2"/>
    <x v="1"/>
  </r>
  <r>
    <x v="90"/>
    <d v="2023-03-25T00:00:00"/>
    <x v="90"/>
    <x v="1"/>
    <x v="28"/>
    <x v="2"/>
    <n v="1"/>
    <n v="500"/>
    <x v="3"/>
    <x v="1"/>
  </r>
  <r>
    <x v="91"/>
    <d v="2023-08-25T00:00:00"/>
    <x v="91"/>
    <x v="1"/>
    <x v="25"/>
    <x v="2"/>
    <n v="4"/>
    <n v="30"/>
    <x v="10"/>
    <x v="1"/>
  </r>
  <r>
    <x v="92"/>
    <d v="2023-07-14T00:00:00"/>
    <x v="92"/>
    <x v="1"/>
    <x v="10"/>
    <x v="0"/>
    <n v="4"/>
    <n v="500"/>
    <x v="11"/>
    <x v="0"/>
  </r>
  <r>
    <x v="93"/>
    <d v="2023-05-19T00:00:00"/>
    <x v="93"/>
    <x v="1"/>
    <x v="16"/>
    <x v="0"/>
    <n v="2"/>
    <n v="500"/>
    <x v="1"/>
    <x v="1"/>
  </r>
  <r>
    <x v="94"/>
    <d v="2023-11-24T00:00:00"/>
    <x v="94"/>
    <x v="1"/>
    <x v="40"/>
    <x v="1"/>
    <n v="2"/>
    <n v="30"/>
    <x v="17"/>
    <x v="0"/>
  </r>
  <r>
    <x v="95"/>
    <d v="2023-12-19T00:00:00"/>
    <x v="95"/>
    <x v="1"/>
    <x v="24"/>
    <x v="1"/>
    <n v="2"/>
    <n v="300"/>
    <x v="6"/>
    <x v="2"/>
  </r>
  <r>
    <x v="96"/>
    <d v="2023-10-13T00:00:00"/>
    <x v="96"/>
    <x v="1"/>
    <x v="25"/>
    <x v="0"/>
    <n v="2"/>
    <n v="500"/>
    <x v="1"/>
    <x v="1"/>
  </r>
  <r>
    <x v="97"/>
    <d v="2023-04-23T00:00:00"/>
    <x v="97"/>
    <x v="1"/>
    <x v="28"/>
    <x v="0"/>
    <n v="2"/>
    <n v="50"/>
    <x v="4"/>
    <x v="1"/>
  </r>
  <r>
    <x v="98"/>
    <d v="2023-12-17T00:00:00"/>
    <x v="98"/>
    <x v="1"/>
    <x v="2"/>
    <x v="2"/>
    <n v="4"/>
    <n v="300"/>
    <x v="14"/>
    <x v="1"/>
  </r>
  <r>
    <x v="99"/>
    <d v="2023-06-16T00:00:00"/>
    <x v="99"/>
    <x v="0"/>
    <x v="41"/>
    <x v="2"/>
    <n v="1"/>
    <n v="30"/>
    <x v="2"/>
    <x v="2"/>
  </r>
  <r>
    <x v="100"/>
    <d v="2023-01-29T00:00:00"/>
    <x v="100"/>
    <x v="0"/>
    <x v="40"/>
    <x v="1"/>
    <n v="2"/>
    <n v="300"/>
    <x v="6"/>
    <x v="0"/>
  </r>
  <r>
    <x v="101"/>
    <d v="2023-04-28T00:00:00"/>
    <x v="101"/>
    <x v="1"/>
    <x v="16"/>
    <x v="0"/>
    <n v="2"/>
    <n v="25"/>
    <x v="5"/>
    <x v="1"/>
  </r>
  <r>
    <x v="102"/>
    <d v="2023-01-17T00:00:00"/>
    <x v="102"/>
    <x v="1"/>
    <x v="42"/>
    <x v="1"/>
    <n v="1"/>
    <n v="25"/>
    <x v="16"/>
    <x v="1"/>
  </r>
  <r>
    <x v="103"/>
    <d v="2023-06-11T00:00:00"/>
    <x v="103"/>
    <x v="1"/>
    <x v="0"/>
    <x v="0"/>
    <n v="2"/>
    <n v="500"/>
    <x v="1"/>
    <x v="0"/>
  </r>
  <r>
    <x v="104"/>
    <d v="2023-07-25T00:00:00"/>
    <x v="104"/>
    <x v="1"/>
    <x v="11"/>
    <x v="2"/>
    <n v="1"/>
    <n v="500"/>
    <x v="3"/>
    <x v="4"/>
  </r>
  <r>
    <x v="105"/>
    <d v="2023-05-18T00:00:00"/>
    <x v="105"/>
    <x v="1"/>
    <x v="6"/>
    <x v="1"/>
    <n v="1"/>
    <n v="50"/>
    <x v="5"/>
    <x v="1"/>
  </r>
  <r>
    <x v="106"/>
    <d v="2023-02-03T00:00:00"/>
    <x v="106"/>
    <x v="1"/>
    <x v="34"/>
    <x v="1"/>
    <n v="4"/>
    <n v="300"/>
    <x v="14"/>
    <x v="4"/>
  </r>
  <r>
    <x v="107"/>
    <d v="2023-04-19T00:00:00"/>
    <x v="107"/>
    <x v="1"/>
    <x v="15"/>
    <x v="0"/>
    <n v="3"/>
    <n v="25"/>
    <x v="8"/>
    <x v="0"/>
  </r>
  <r>
    <x v="108"/>
    <d v="2023-10-18T00:00:00"/>
    <x v="108"/>
    <x v="1"/>
    <x v="0"/>
    <x v="2"/>
    <n v="4"/>
    <n v="500"/>
    <x v="11"/>
    <x v="0"/>
  </r>
  <r>
    <x v="109"/>
    <d v="2023-06-11T00:00:00"/>
    <x v="109"/>
    <x v="0"/>
    <x v="15"/>
    <x v="1"/>
    <n v="3"/>
    <n v="300"/>
    <x v="12"/>
    <x v="0"/>
  </r>
  <r>
    <x v="110"/>
    <d v="2023-04-19T00:00:00"/>
    <x v="110"/>
    <x v="1"/>
    <x v="0"/>
    <x v="2"/>
    <n v="3"/>
    <n v="500"/>
    <x v="9"/>
    <x v="0"/>
  </r>
  <r>
    <x v="111"/>
    <d v="2023-12-02T00:00:00"/>
    <x v="111"/>
    <x v="0"/>
    <x v="3"/>
    <x v="1"/>
    <n v="3"/>
    <n v="500"/>
    <x v="9"/>
    <x v="2"/>
  </r>
  <r>
    <x v="112"/>
    <d v="2023-09-13T00:00:00"/>
    <x v="112"/>
    <x v="1"/>
    <x v="41"/>
    <x v="2"/>
    <n v="2"/>
    <n v="25"/>
    <x v="5"/>
    <x v="2"/>
  </r>
  <r>
    <x v="113"/>
    <d v="2023-07-22T00:00:00"/>
    <x v="113"/>
    <x v="1"/>
    <x v="11"/>
    <x v="0"/>
    <n v="4"/>
    <n v="25"/>
    <x v="4"/>
    <x v="4"/>
  </r>
  <r>
    <x v="114"/>
    <d v="2023-11-26T00:00:00"/>
    <x v="114"/>
    <x v="0"/>
    <x v="25"/>
    <x v="1"/>
    <n v="3"/>
    <n v="500"/>
    <x v="9"/>
    <x v="1"/>
  </r>
  <r>
    <x v="115"/>
    <d v="2023-08-23T00:00:00"/>
    <x v="115"/>
    <x v="1"/>
    <x v="9"/>
    <x v="1"/>
    <n v="1"/>
    <n v="30"/>
    <x v="2"/>
    <x v="4"/>
  </r>
  <r>
    <x v="116"/>
    <d v="2023-03-15T00:00:00"/>
    <x v="116"/>
    <x v="0"/>
    <x v="14"/>
    <x v="2"/>
    <n v="2"/>
    <n v="500"/>
    <x v="1"/>
    <x v="4"/>
  </r>
  <r>
    <x v="117"/>
    <d v="2023-05-16T00:00:00"/>
    <x v="117"/>
    <x v="1"/>
    <x v="4"/>
    <x v="2"/>
    <n v="4"/>
    <n v="500"/>
    <x v="11"/>
    <x v="0"/>
  </r>
  <r>
    <x v="118"/>
    <d v="2023-03-13T00:00:00"/>
    <x v="118"/>
    <x v="1"/>
    <x v="43"/>
    <x v="1"/>
    <n v="3"/>
    <n v="50"/>
    <x v="0"/>
    <x v="1"/>
  </r>
  <r>
    <x v="119"/>
    <d v="2023-05-07T00:00:00"/>
    <x v="119"/>
    <x v="0"/>
    <x v="43"/>
    <x v="0"/>
    <n v="1"/>
    <n v="50"/>
    <x v="5"/>
    <x v="1"/>
  </r>
  <r>
    <x v="120"/>
    <d v="2023-10-15T00:00:00"/>
    <x v="120"/>
    <x v="1"/>
    <x v="20"/>
    <x v="2"/>
    <n v="4"/>
    <n v="50"/>
    <x v="7"/>
    <x v="0"/>
  </r>
  <r>
    <x v="121"/>
    <d v="2023-10-03T00:00:00"/>
    <x v="121"/>
    <x v="0"/>
    <x v="12"/>
    <x v="2"/>
    <n v="4"/>
    <n v="30"/>
    <x v="10"/>
    <x v="3"/>
  </r>
  <r>
    <x v="122"/>
    <d v="2023-05-15T00:00:00"/>
    <x v="122"/>
    <x v="1"/>
    <x v="30"/>
    <x v="2"/>
    <n v="2"/>
    <n v="30"/>
    <x v="17"/>
    <x v="2"/>
  </r>
  <r>
    <x v="123"/>
    <d v="2023-10-27T00:00:00"/>
    <x v="123"/>
    <x v="0"/>
    <x v="44"/>
    <x v="1"/>
    <n v="4"/>
    <n v="500"/>
    <x v="11"/>
    <x v="0"/>
  </r>
  <r>
    <x v="124"/>
    <d v="2023-08-08T00:00:00"/>
    <x v="124"/>
    <x v="0"/>
    <x v="27"/>
    <x v="1"/>
    <n v="2"/>
    <n v="50"/>
    <x v="4"/>
    <x v="1"/>
  </r>
  <r>
    <x v="125"/>
    <d v="2023-10-26T00:00:00"/>
    <x v="125"/>
    <x v="1"/>
    <x v="20"/>
    <x v="1"/>
    <n v="3"/>
    <n v="30"/>
    <x v="15"/>
    <x v="0"/>
  </r>
  <r>
    <x v="126"/>
    <d v="2023-07-24T00:00:00"/>
    <x v="126"/>
    <x v="1"/>
    <x v="44"/>
    <x v="1"/>
    <n v="2"/>
    <n v="25"/>
    <x v="5"/>
    <x v="0"/>
  </r>
  <r>
    <x v="127"/>
    <d v="2023-07-05T00:00:00"/>
    <x v="127"/>
    <x v="0"/>
    <x v="36"/>
    <x v="0"/>
    <n v="1"/>
    <n v="500"/>
    <x v="3"/>
    <x v="4"/>
  </r>
  <r>
    <x v="128"/>
    <d v="2023-04-23T00:00:00"/>
    <x v="128"/>
    <x v="1"/>
    <x v="34"/>
    <x v="0"/>
    <n v="2"/>
    <n v="300"/>
    <x v="6"/>
    <x v="4"/>
  </r>
  <r>
    <x v="129"/>
    <d v="2023-03-12T00:00:00"/>
    <x v="129"/>
    <x v="1"/>
    <x v="35"/>
    <x v="1"/>
    <n v="1"/>
    <n v="500"/>
    <x v="3"/>
    <x v="1"/>
  </r>
  <r>
    <x v="130"/>
    <d v="2023-09-18T00:00:00"/>
    <x v="130"/>
    <x v="1"/>
    <x v="34"/>
    <x v="0"/>
    <n v="2"/>
    <n v="300"/>
    <x v="6"/>
    <x v="4"/>
  </r>
  <r>
    <x v="131"/>
    <d v="2023-09-10T00:00:00"/>
    <x v="131"/>
    <x v="0"/>
    <x v="13"/>
    <x v="2"/>
    <n v="4"/>
    <n v="50"/>
    <x v="7"/>
    <x v="2"/>
  </r>
  <r>
    <x v="132"/>
    <d v="2023-02-16T00:00:00"/>
    <x v="132"/>
    <x v="0"/>
    <x v="29"/>
    <x v="2"/>
    <n v="3"/>
    <n v="300"/>
    <x v="12"/>
    <x v="4"/>
  </r>
  <r>
    <x v="133"/>
    <d v="2023-01-25T00:00:00"/>
    <x v="133"/>
    <x v="0"/>
    <x v="19"/>
    <x v="2"/>
    <n v="1"/>
    <n v="50"/>
    <x v="5"/>
    <x v="1"/>
  </r>
  <r>
    <x v="134"/>
    <d v="2023-02-26T00:00:00"/>
    <x v="134"/>
    <x v="0"/>
    <x v="29"/>
    <x v="1"/>
    <n v="2"/>
    <n v="25"/>
    <x v="5"/>
    <x v="4"/>
  </r>
  <r>
    <x v="135"/>
    <d v="2023-03-20T00:00:00"/>
    <x v="135"/>
    <x v="0"/>
    <x v="24"/>
    <x v="2"/>
    <n v="2"/>
    <n v="300"/>
    <x v="6"/>
    <x v="2"/>
  </r>
  <r>
    <x v="136"/>
    <d v="2023-11-18T00:00:00"/>
    <x v="136"/>
    <x v="0"/>
    <x v="6"/>
    <x v="0"/>
    <n v="2"/>
    <n v="500"/>
    <x v="1"/>
    <x v="1"/>
  </r>
  <r>
    <x v="137"/>
    <d v="2023-03-23T00:00:00"/>
    <x v="137"/>
    <x v="0"/>
    <x v="19"/>
    <x v="1"/>
    <n v="4"/>
    <n v="50"/>
    <x v="7"/>
    <x v="1"/>
  </r>
  <r>
    <x v="138"/>
    <d v="2023-12-15T00:00:00"/>
    <x v="138"/>
    <x v="0"/>
    <x v="32"/>
    <x v="0"/>
    <n v="4"/>
    <n v="500"/>
    <x v="11"/>
    <x v="2"/>
  </r>
  <r>
    <x v="139"/>
    <d v="2023-08-05T00:00:00"/>
    <x v="139"/>
    <x v="0"/>
    <x v="21"/>
    <x v="2"/>
    <n v="1"/>
    <n v="30"/>
    <x v="2"/>
    <x v="2"/>
  </r>
  <r>
    <x v="140"/>
    <d v="2023-11-02T00:00:00"/>
    <x v="140"/>
    <x v="1"/>
    <x v="11"/>
    <x v="2"/>
    <n v="1"/>
    <n v="50"/>
    <x v="5"/>
    <x v="4"/>
  </r>
  <r>
    <x v="141"/>
    <d v="2023-02-02T00:00:00"/>
    <x v="141"/>
    <x v="0"/>
    <x v="10"/>
    <x v="2"/>
    <n v="4"/>
    <n v="300"/>
    <x v="14"/>
    <x v="0"/>
  </r>
  <r>
    <x v="142"/>
    <d v="2023-07-17T00:00:00"/>
    <x v="142"/>
    <x v="1"/>
    <x v="5"/>
    <x v="1"/>
    <n v="1"/>
    <n v="50"/>
    <x v="5"/>
    <x v="2"/>
  </r>
  <r>
    <x v="143"/>
    <d v="2023-07-15T00:00:00"/>
    <x v="143"/>
    <x v="1"/>
    <x v="42"/>
    <x v="0"/>
    <n v="3"/>
    <n v="500"/>
    <x v="9"/>
    <x v="1"/>
  </r>
  <r>
    <x v="144"/>
    <d v="2023-11-02T00:00:00"/>
    <x v="144"/>
    <x v="1"/>
    <x v="23"/>
    <x v="1"/>
    <n v="3"/>
    <n v="25"/>
    <x v="8"/>
    <x v="2"/>
  </r>
  <r>
    <x v="145"/>
    <d v="2023-08-28T00:00:00"/>
    <x v="145"/>
    <x v="0"/>
    <x v="21"/>
    <x v="1"/>
    <n v="4"/>
    <n v="50"/>
    <x v="7"/>
    <x v="2"/>
  </r>
  <r>
    <x v="146"/>
    <d v="2023-09-28T00:00:00"/>
    <x v="146"/>
    <x v="0"/>
    <x v="9"/>
    <x v="2"/>
    <n v="1"/>
    <n v="300"/>
    <x v="13"/>
    <x v="4"/>
  </r>
  <r>
    <x v="147"/>
    <d v="2023-05-09T00:00:00"/>
    <x v="147"/>
    <x v="0"/>
    <x v="18"/>
    <x v="1"/>
    <n v="2"/>
    <n v="30"/>
    <x v="17"/>
    <x v="4"/>
  </r>
  <r>
    <x v="148"/>
    <d v="2023-10-11T00:00:00"/>
    <x v="148"/>
    <x v="0"/>
    <x v="11"/>
    <x v="1"/>
    <n v="3"/>
    <n v="25"/>
    <x v="8"/>
    <x v="4"/>
  </r>
  <r>
    <x v="149"/>
    <d v="2023-01-06T00:00:00"/>
    <x v="149"/>
    <x v="1"/>
    <x v="26"/>
    <x v="2"/>
    <n v="4"/>
    <n v="30"/>
    <x v="10"/>
    <x v="1"/>
  </r>
  <r>
    <x v="150"/>
    <d v="2023-12-15T00:00:00"/>
    <x v="150"/>
    <x v="0"/>
    <x v="38"/>
    <x v="1"/>
    <n v="1"/>
    <n v="50"/>
    <x v="5"/>
    <x v="0"/>
  </r>
  <r>
    <x v="151"/>
    <d v="2023-02-28T00:00:00"/>
    <x v="151"/>
    <x v="0"/>
    <x v="22"/>
    <x v="2"/>
    <n v="4"/>
    <n v="500"/>
    <x v="11"/>
    <x v="2"/>
  </r>
  <r>
    <x v="152"/>
    <d v="2023-12-16T00:00:00"/>
    <x v="152"/>
    <x v="0"/>
    <x v="7"/>
    <x v="2"/>
    <n v="2"/>
    <n v="500"/>
    <x v="1"/>
    <x v="3"/>
  </r>
  <r>
    <x v="153"/>
    <d v="2023-10-02T00:00:00"/>
    <x v="153"/>
    <x v="0"/>
    <x v="25"/>
    <x v="2"/>
    <n v="3"/>
    <n v="300"/>
    <x v="12"/>
    <x v="1"/>
  </r>
  <r>
    <x v="154"/>
    <d v="2023-05-17T00:00:00"/>
    <x v="154"/>
    <x v="0"/>
    <x v="33"/>
    <x v="2"/>
    <n v="4"/>
    <n v="500"/>
    <x v="11"/>
    <x v="0"/>
  </r>
  <r>
    <x v="155"/>
    <d v="2023-11-25T00:00:00"/>
    <x v="155"/>
    <x v="1"/>
    <x v="22"/>
    <x v="1"/>
    <n v="4"/>
    <n v="25"/>
    <x v="4"/>
    <x v="2"/>
  </r>
  <r>
    <x v="156"/>
    <d v="2023-06-24T00:00:00"/>
    <x v="156"/>
    <x v="0"/>
    <x v="17"/>
    <x v="2"/>
    <n v="4"/>
    <n v="500"/>
    <x v="11"/>
    <x v="3"/>
  </r>
  <r>
    <x v="157"/>
    <d v="2023-02-27T00:00:00"/>
    <x v="157"/>
    <x v="1"/>
    <x v="24"/>
    <x v="2"/>
    <n v="2"/>
    <n v="300"/>
    <x v="6"/>
    <x v="2"/>
  </r>
  <r>
    <x v="158"/>
    <d v="2023-05-31T00:00:00"/>
    <x v="158"/>
    <x v="0"/>
    <x v="1"/>
    <x v="1"/>
    <n v="4"/>
    <n v="50"/>
    <x v="7"/>
    <x v="0"/>
  </r>
  <r>
    <x v="159"/>
    <d v="2023-08-11T00:00:00"/>
    <x v="159"/>
    <x v="1"/>
    <x v="22"/>
    <x v="1"/>
    <n v="2"/>
    <n v="50"/>
    <x v="4"/>
    <x v="2"/>
  </r>
  <r>
    <x v="160"/>
    <d v="2023-03-22T00:00:00"/>
    <x v="160"/>
    <x v="0"/>
    <x v="12"/>
    <x v="0"/>
    <n v="2"/>
    <n v="500"/>
    <x v="1"/>
    <x v="3"/>
  </r>
  <r>
    <x v="161"/>
    <d v="2023-08-21T00:00:00"/>
    <x v="161"/>
    <x v="0"/>
    <x v="23"/>
    <x v="1"/>
    <n v="2"/>
    <n v="30"/>
    <x v="17"/>
    <x v="2"/>
  </r>
  <r>
    <x v="162"/>
    <d v="2023-01-02T00:00:00"/>
    <x v="162"/>
    <x v="1"/>
    <x v="12"/>
    <x v="1"/>
    <n v="3"/>
    <n v="50"/>
    <x v="0"/>
    <x v="3"/>
  </r>
  <r>
    <x v="163"/>
    <d v="2023-05-15T00:00:00"/>
    <x v="163"/>
    <x v="1"/>
    <x v="16"/>
    <x v="0"/>
    <n v="3"/>
    <n v="500"/>
    <x v="9"/>
    <x v="1"/>
  </r>
  <r>
    <x v="164"/>
    <d v="2023-09-14T00:00:00"/>
    <x v="164"/>
    <x v="1"/>
    <x v="43"/>
    <x v="1"/>
    <n v="4"/>
    <n v="300"/>
    <x v="14"/>
    <x v="1"/>
  </r>
  <r>
    <x v="165"/>
    <d v="2023-04-02T00:00:00"/>
    <x v="165"/>
    <x v="0"/>
    <x v="0"/>
    <x v="1"/>
    <n v="4"/>
    <n v="500"/>
    <x v="11"/>
    <x v="0"/>
  </r>
  <r>
    <x v="166"/>
    <d v="2023-09-17T00:00:00"/>
    <x v="166"/>
    <x v="1"/>
    <x v="22"/>
    <x v="1"/>
    <n v="3"/>
    <n v="50"/>
    <x v="0"/>
    <x v="2"/>
  </r>
  <r>
    <x v="167"/>
    <d v="2023-02-24T00:00:00"/>
    <x v="167"/>
    <x v="0"/>
    <x v="45"/>
    <x v="1"/>
    <n v="1"/>
    <n v="300"/>
    <x v="13"/>
    <x v="1"/>
  </r>
  <r>
    <x v="168"/>
    <d v="2023-11-17T00:00:00"/>
    <x v="168"/>
    <x v="0"/>
    <x v="18"/>
    <x v="0"/>
    <n v="3"/>
    <n v="500"/>
    <x v="9"/>
    <x v="4"/>
  </r>
  <r>
    <x v="169"/>
    <d v="2023-06-02T00:00:00"/>
    <x v="169"/>
    <x v="1"/>
    <x v="36"/>
    <x v="1"/>
    <n v="2"/>
    <n v="25"/>
    <x v="5"/>
    <x v="4"/>
  </r>
  <r>
    <x v="170"/>
    <d v="2023-11-24T00:00:00"/>
    <x v="170"/>
    <x v="1"/>
    <x v="8"/>
    <x v="1"/>
    <n v="3"/>
    <n v="300"/>
    <x v="12"/>
    <x v="1"/>
  </r>
  <r>
    <x v="171"/>
    <d v="2023-09-17T00:00:00"/>
    <x v="171"/>
    <x v="0"/>
    <x v="40"/>
    <x v="0"/>
    <n v="2"/>
    <n v="25"/>
    <x v="5"/>
    <x v="0"/>
  </r>
  <r>
    <x v="172"/>
    <d v="2023-11-08T00:00:00"/>
    <x v="172"/>
    <x v="0"/>
    <x v="12"/>
    <x v="2"/>
    <n v="4"/>
    <n v="30"/>
    <x v="10"/>
    <x v="3"/>
  </r>
  <r>
    <x v="173"/>
    <d v="2023-04-12T00:00:00"/>
    <x v="173"/>
    <x v="1"/>
    <x v="23"/>
    <x v="0"/>
    <n v="1"/>
    <n v="300"/>
    <x v="13"/>
    <x v="2"/>
  </r>
  <r>
    <x v="174"/>
    <d v="2023-03-20T00:00:00"/>
    <x v="174"/>
    <x v="1"/>
    <x v="33"/>
    <x v="2"/>
    <n v="4"/>
    <n v="25"/>
    <x v="4"/>
    <x v="0"/>
  </r>
  <r>
    <x v="175"/>
    <d v="2023-07-11T00:00:00"/>
    <x v="175"/>
    <x v="1"/>
    <x v="22"/>
    <x v="0"/>
    <n v="2"/>
    <n v="50"/>
    <x v="4"/>
    <x v="2"/>
  </r>
  <r>
    <x v="176"/>
    <d v="2023-03-24T00:00:00"/>
    <x v="176"/>
    <x v="0"/>
    <x v="5"/>
    <x v="0"/>
    <n v="2"/>
    <n v="50"/>
    <x v="4"/>
    <x v="2"/>
  </r>
  <r>
    <x v="177"/>
    <d v="2023-10-04T00:00:00"/>
    <x v="177"/>
    <x v="0"/>
    <x v="30"/>
    <x v="1"/>
    <n v="2"/>
    <n v="30"/>
    <x v="17"/>
    <x v="2"/>
  </r>
  <r>
    <x v="178"/>
    <d v="2023-09-29T00:00:00"/>
    <x v="178"/>
    <x v="0"/>
    <x v="33"/>
    <x v="2"/>
    <n v="1"/>
    <n v="300"/>
    <x v="13"/>
    <x v="0"/>
  </r>
  <r>
    <x v="179"/>
    <d v="2023-01-01T00:00:00"/>
    <x v="179"/>
    <x v="0"/>
    <x v="41"/>
    <x v="1"/>
    <n v="3"/>
    <n v="300"/>
    <x v="12"/>
    <x v="2"/>
  </r>
  <r>
    <x v="180"/>
    <d v="2023-11-03T00:00:00"/>
    <x v="180"/>
    <x v="0"/>
    <x v="14"/>
    <x v="2"/>
    <n v="4"/>
    <n v="300"/>
    <x v="14"/>
    <x v="4"/>
  </r>
  <r>
    <x v="181"/>
    <d v="2023-06-15T00:00:00"/>
    <x v="181"/>
    <x v="0"/>
    <x v="17"/>
    <x v="0"/>
    <n v="4"/>
    <n v="30"/>
    <x v="10"/>
    <x v="3"/>
  </r>
  <r>
    <x v="182"/>
    <d v="2023-09-08T00:00:00"/>
    <x v="182"/>
    <x v="1"/>
    <x v="22"/>
    <x v="0"/>
    <n v="3"/>
    <n v="300"/>
    <x v="12"/>
    <x v="2"/>
  </r>
  <r>
    <x v="183"/>
    <d v="2023-01-10T00:00:00"/>
    <x v="183"/>
    <x v="0"/>
    <x v="33"/>
    <x v="2"/>
    <n v="4"/>
    <n v="50"/>
    <x v="7"/>
    <x v="0"/>
  </r>
  <r>
    <x v="184"/>
    <d v="2023-02-27T00:00:00"/>
    <x v="184"/>
    <x v="0"/>
    <x v="46"/>
    <x v="1"/>
    <n v="1"/>
    <n v="25"/>
    <x v="16"/>
    <x v="4"/>
  </r>
  <r>
    <x v="185"/>
    <d v="2023-07-05T00:00:00"/>
    <x v="185"/>
    <x v="0"/>
    <x v="29"/>
    <x v="1"/>
    <n v="4"/>
    <n v="50"/>
    <x v="7"/>
    <x v="4"/>
  </r>
  <r>
    <x v="186"/>
    <d v="2023-06-07T00:00:00"/>
    <x v="186"/>
    <x v="1"/>
    <x v="12"/>
    <x v="1"/>
    <n v="2"/>
    <n v="50"/>
    <x v="4"/>
    <x v="3"/>
  </r>
  <r>
    <x v="187"/>
    <d v="2023-05-03T00:00:00"/>
    <x v="187"/>
    <x v="0"/>
    <x v="30"/>
    <x v="1"/>
    <n v="3"/>
    <n v="25"/>
    <x v="8"/>
    <x v="2"/>
  </r>
  <r>
    <x v="188"/>
    <d v="2023-01-30T00:00:00"/>
    <x v="188"/>
    <x v="0"/>
    <x v="7"/>
    <x v="0"/>
    <n v="1"/>
    <n v="50"/>
    <x v="5"/>
    <x v="3"/>
  </r>
  <r>
    <x v="189"/>
    <d v="2023-05-04T00:00:00"/>
    <x v="189"/>
    <x v="1"/>
    <x v="43"/>
    <x v="0"/>
    <n v="3"/>
    <n v="30"/>
    <x v="15"/>
    <x v="1"/>
  </r>
  <r>
    <x v="190"/>
    <d v="2023-10-18T00:00:00"/>
    <x v="190"/>
    <x v="0"/>
    <x v="12"/>
    <x v="0"/>
    <n v="1"/>
    <n v="25"/>
    <x v="16"/>
    <x v="3"/>
  </r>
  <r>
    <x v="191"/>
    <d v="2023-02-10T00:00:00"/>
    <x v="191"/>
    <x v="0"/>
    <x v="17"/>
    <x v="0"/>
    <n v="2"/>
    <n v="50"/>
    <x v="4"/>
    <x v="3"/>
  </r>
  <r>
    <x v="192"/>
    <d v="2023-02-13T00:00:00"/>
    <x v="192"/>
    <x v="0"/>
    <x v="10"/>
    <x v="0"/>
    <n v="3"/>
    <n v="500"/>
    <x v="9"/>
    <x v="0"/>
  </r>
  <r>
    <x v="193"/>
    <d v="2023-09-06T00:00:00"/>
    <x v="193"/>
    <x v="0"/>
    <x v="28"/>
    <x v="1"/>
    <n v="4"/>
    <n v="50"/>
    <x v="7"/>
    <x v="1"/>
  </r>
  <r>
    <x v="194"/>
    <d v="2023-02-05T00:00:00"/>
    <x v="194"/>
    <x v="0"/>
    <x v="8"/>
    <x v="1"/>
    <n v="1"/>
    <n v="30"/>
    <x v="2"/>
    <x v="1"/>
  </r>
  <r>
    <x v="195"/>
    <d v="2023-09-30T00:00:00"/>
    <x v="195"/>
    <x v="1"/>
    <x v="40"/>
    <x v="1"/>
    <n v="3"/>
    <n v="300"/>
    <x v="12"/>
    <x v="0"/>
  </r>
  <r>
    <x v="196"/>
    <d v="2023-03-06T00:00:00"/>
    <x v="196"/>
    <x v="1"/>
    <x v="13"/>
    <x v="1"/>
    <n v="4"/>
    <n v="50"/>
    <x v="7"/>
    <x v="2"/>
  </r>
  <r>
    <x v="197"/>
    <d v="2023-03-07T00:00:00"/>
    <x v="197"/>
    <x v="1"/>
    <x v="31"/>
    <x v="0"/>
    <n v="3"/>
    <n v="300"/>
    <x v="12"/>
    <x v="1"/>
  </r>
  <r>
    <x v="198"/>
    <d v="2023-12-04T00:00:00"/>
    <x v="198"/>
    <x v="0"/>
    <x v="5"/>
    <x v="0"/>
    <n v="3"/>
    <n v="500"/>
    <x v="9"/>
    <x v="2"/>
  </r>
  <r>
    <x v="199"/>
    <d v="2023-09-01T00:00:00"/>
    <x v="199"/>
    <x v="0"/>
    <x v="15"/>
    <x v="0"/>
    <n v="3"/>
    <n v="50"/>
    <x v="0"/>
    <x v="0"/>
  </r>
  <r>
    <x v="200"/>
    <d v="2023-10-09T00:00:00"/>
    <x v="200"/>
    <x v="0"/>
    <x v="37"/>
    <x v="2"/>
    <n v="1"/>
    <n v="25"/>
    <x v="16"/>
    <x v="1"/>
  </r>
  <r>
    <x v="201"/>
    <d v="2023-03-26T00:00:00"/>
    <x v="201"/>
    <x v="1"/>
    <x v="0"/>
    <x v="1"/>
    <n v="4"/>
    <n v="300"/>
    <x v="14"/>
    <x v="0"/>
  </r>
  <r>
    <x v="202"/>
    <d v="2023-05-16T00:00:00"/>
    <x v="202"/>
    <x v="0"/>
    <x v="37"/>
    <x v="1"/>
    <n v="2"/>
    <n v="500"/>
    <x v="1"/>
    <x v="1"/>
  </r>
  <r>
    <x v="203"/>
    <d v="2023-09-28T00:00:00"/>
    <x v="203"/>
    <x v="0"/>
    <x v="23"/>
    <x v="0"/>
    <n v="1"/>
    <n v="25"/>
    <x v="16"/>
    <x v="2"/>
  </r>
  <r>
    <x v="204"/>
    <d v="2023-11-07T00:00:00"/>
    <x v="204"/>
    <x v="1"/>
    <x v="22"/>
    <x v="1"/>
    <n v="1"/>
    <n v="25"/>
    <x v="16"/>
    <x v="2"/>
  </r>
  <r>
    <x v="205"/>
    <d v="2023-08-05T00:00:00"/>
    <x v="205"/>
    <x v="0"/>
    <x v="39"/>
    <x v="1"/>
    <n v="1"/>
    <n v="25"/>
    <x v="16"/>
    <x v="3"/>
  </r>
  <r>
    <x v="206"/>
    <d v="2023-04-19T00:00:00"/>
    <x v="206"/>
    <x v="1"/>
    <x v="13"/>
    <x v="0"/>
    <n v="2"/>
    <n v="25"/>
    <x v="5"/>
    <x v="2"/>
  </r>
  <r>
    <x v="207"/>
    <d v="2023-10-04T00:00:00"/>
    <x v="207"/>
    <x v="1"/>
    <x v="0"/>
    <x v="2"/>
    <n v="4"/>
    <n v="50"/>
    <x v="7"/>
    <x v="0"/>
  </r>
  <r>
    <x v="208"/>
    <d v="2023-12-20T00:00:00"/>
    <x v="208"/>
    <x v="1"/>
    <x v="4"/>
    <x v="2"/>
    <n v="4"/>
    <n v="50"/>
    <x v="7"/>
    <x v="0"/>
  </r>
  <r>
    <x v="209"/>
    <d v="2023-04-13T00:00:00"/>
    <x v="209"/>
    <x v="0"/>
    <x v="3"/>
    <x v="2"/>
    <n v="4"/>
    <n v="50"/>
    <x v="7"/>
    <x v="2"/>
  </r>
  <r>
    <x v="210"/>
    <d v="2024-01-01T00:00:00"/>
    <x v="210"/>
    <x v="0"/>
    <x v="13"/>
    <x v="0"/>
    <n v="3"/>
    <n v="500"/>
    <x v="9"/>
    <x v="2"/>
  </r>
  <r>
    <x v="211"/>
    <d v="2023-06-09T00:00:00"/>
    <x v="211"/>
    <x v="0"/>
    <x v="34"/>
    <x v="1"/>
    <n v="3"/>
    <n v="500"/>
    <x v="9"/>
    <x v="4"/>
  </r>
  <r>
    <x v="212"/>
    <d v="2023-07-24T00:00:00"/>
    <x v="212"/>
    <x v="0"/>
    <x v="15"/>
    <x v="0"/>
    <n v="3"/>
    <n v="500"/>
    <x v="9"/>
    <x v="0"/>
  </r>
  <r>
    <x v="213"/>
    <d v="2023-12-10T00:00:00"/>
    <x v="213"/>
    <x v="0"/>
    <x v="29"/>
    <x v="0"/>
    <n v="2"/>
    <n v="30"/>
    <x v="17"/>
    <x v="4"/>
  </r>
  <r>
    <x v="214"/>
    <d v="2023-11-29T00:00:00"/>
    <x v="214"/>
    <x v="0"/>
    <x v="26"/>
    <x v="1"/>
    <n v="3"/>
    <n v="500"/>
    <x v="9"/>
    <x v="1"/>
  </r>
  <r>
    <x v="215"/>
    <d v="2023-07-11T00:00:00"/>
    <x v="215"/>
    <x v="0"/>
    <x v="17"/>
    <x v="2"/>
    <n v="2"/>
    <n v="50"/>
    <x v="4"/>
    <x v="3"/>
  </r>
  <r>
    <x v="216"/>
    <d v="2023-08-13T00:00:00"/>
    <x v="216"/>
    <x v="1"/>
    <x v="10"/>
    <x v="2"/>
    <n v="4"/>
    <n v="50"/>
    <x v="7"/>
    <x v="0"/>
  </r>
  <r>
    <x v="217"/>
    <d v="2023-09-22T00:00:00"/>
    <x v="217"/>
    <x v="0"/>
    <x v="12"/>
    <x v="0"/>
    <n v="3"/>
    <n v="30"/>
    <x v="15"/>
    <x v="3"/>
  </r>
  <r>
    <x v="218"/>
    <d v="2023-08-20T00:00:00"/>
    <x v="218"/>
    <x v="1"/>
    <x v="45"/>
    <x v="2"/>
    <n v="3"/>
    <n v="30"/>
    <x v="15"/>
    <x v="1"/>
  </r>
  <r>
    <x v="219"/>
    <d v="2023-03-03T00:00:00"/>
    <x v="219"/>
    <x v="0"/>
    <x v="12"/>
    <x v="0"/>
    <n v="1"/>
    <n v="500"/>
    <x v="3"/>
    <x v="3"/>
  </r>
  <r>
    <x v="220"/>
    <d v="2023-05-07T00:00:00"/>
    <x v="220"/>
    <x v="0"/>
    <x v="23"/>
    <x v="0"/>
    <n v="2"/>
    <n v="300"/>
    <x v="6"/>
    <x v="2"/>
  </r>
  <r>
    <x v="221"/>
    <d v="2023-04-26T00:00:00"/>
    <x v="221"/>
    <x v="0"/>
    <x v="25"/>
    <x v="1"/>
    <n v="4"/>
    <n v="30"/>
    <x v="10"/>
    <x v="1"/>
  </r>
  <r>
    <x v="222"/>
    <d v="2023-02-02T00:00:00"/>
    <x v="222"/>
    <x v="1"/>
    <x v="12"/>
    <x v="1"/>
    <n v="1"/>
    <n v="25"/>
    <x v="16"/>
    <x v="3"/>
  </r>
  <r>
    <x v="223"/>
    <d v="2023-06-23T00:00:00"/>
    <x v="223"/>
    <x v="1"/>
    <x v="36"/>
    <x v="1"/>
    <n v="1"/>
    <n v="50"/>
    <x v="5"/>
    <x v="4"/>
  </r>
  <r>
    <x v="224"/>
    <d v="2023-01-11T00:00:00"/>
    <x v="224"/>
    <x v="1"/>
    <x v="35"/>
    <x v="0"/>
    <n v="4"/>
    <n v="25"/>
    <x v="4"/>
    <x v="1"/>
  </r>
  <r>
    <x v="225"/>
    <d v="2023-10-29T00:00:00"/>
    <x v="225"/>
    <x v="1"/>
    <x v="39"/>
    <x v="1"/>
    <n v="1"/>
    <n v="50"/>
    <x v="5"/>
    <x v="3"/>
  </r>
  <r>
    <x v="226"/>
    <d v="2023-10-11T00:00:00"/>
    <x v="226"/>
    <x v="0"/>
    <x v="32"/>
    <x v="2"/>
    <n v="2"/>
    <n v="50"/>
    <x v="4"/>
    <x v="2"/>
  </r>
  <r>
    <x v="227"/>
    <d v="2023-04-28T00:00:00"/>
    <x v="227"/>
    <x v="1"/>
    <x v="42"/>
    <x v="2"/>
    <n v="2"/>
    <n v="30"/>
    <x v="17"/>
    <x v="1"/>
  </r>
  <r>
    <x v="228"/>
    <d v="2023-10-29T00:00:00"/>
    <x v="228"/>
    <x v="0"/>
    <x v="26"/>
    <x v="0"/>
    <n v="3"/>
    <n v="30"/>
    <x v="15"/>
    <x v="1"/>
  </r>
  <r>
    <x v="229"/>
    <d v="2023-04-23T00:00:00"/>
    <x v="229"/>
    <x v="0"/>
    <x v="31"/>
    <x v="0"/>
    <n v="1"/>
    <n v="25"/>
    <x v="16"/>
    <x v="1"/>
  </r>
  <r>
    <x v="230"/>
    <d v="2023-01-04T00:00:00"/>
    <x v="230"/>
    <x v="1"/>
    <x v="9"/>
    <x v="1"/>
    <n v="3"/>
    <n v="50"/>
    <x v="0"/>
    <x v="4"/>
  </r>
  <r>
    <x v="231"/>
    <d v="2023-02-06T00:00:00"/>
    <x v="231"/>
    <x v="1"/>
    <x v="22"/>
    <x v="0"/>
    <n v="1"/>
    <n v="25"/>
    <x v="16"/>
    <x v="2"/>
  </r>
  <r>
    <x v="232"/>
    <d v="2023-12-29T00:00:00"/>
    <x v="232"/>
    <x v="1"/>
    <x v="25"/>
    <x v="0"/>
    <n v="2"/>
    <n v="300"/>
    <x v="6"/>
    <x v="1"/>
  </r>
  <r>
    <x v="233"/>
    <d v="2023-11-20T00:00:00"/>
    <x v="233"/>
    <x v="1"/>
    <x v="17"/>
    <x v="2"/>
    <n v="2"/>
    <n v="25"/>
    <x v="5"/>
    <x v="3"/>
  </r>
  <r>
    <x v="234"/>
    <d v="2023-01-31T00:00:00"/>
    <x v="234"/>
    <x v="1"/>
    <x v="9"/>
    <x v="2"/>
    <n v="2"/>
    <n v="500"/>
    <x v="1"/>
    <x v="4"/>
  </r>
  <r>
    <x v="235"/>
    <d v="2023-04-28T00:00:00"/>
    <x v="235"/>
    <x v="1"/>
    <x v="31"/>
    <x v="1"/>
    <n v="1"/>
    <n v="25"/>
    <x v="16"/>
    <x v="1"/>
  </r>
  <r>
    <x v="236"/>
    <d v="2023-02-04T00:00:00"/>
    <x v="236"/>
    <x v="1"/>
    <x v="2"/>
    <x v="0"/>
    <n v="2"/>
    <n v="500"/>
    <x v="1"/>
    <x v="1"/>
  </r>
  <r>
    <x v="237"/>
    <d v="2023-01-17T00:00:00"/>
    <x v="237"/>
    <x v="1"/>
    <x v="23"/>
    <x v="0"/>
    <n v="1"/>
    <n v="500"/>
    <x v="3"/>
    <x v="2"/>
  </r>
  <r>
    <x v="238"/>
    <d v="2023-06-19T00:00:00"/>
    <x v="238"/>
    <x v="0"/>
    <x v="21"/>
    <x v="2"/>
    <n v="3"/>
    <n v="500"/>
    <x v="9"/>
    <x v="2"/>
  </r>
  <r>
    <x v="239"/>
    <d v="2023-02-06T00:00:00"/>
    <x v="239"/>
    <x v="1"/>
    <x v="9"/>
    <x v="0"/>
    <n v="1"/>
    <n v="300"/>
    <x v="13"/>
    <x v="4"/>
  </r>
  <r>
    <x v="240"/>
    <d v="2023-09-21T00:00:00"/>
    <x v="240"/>
    <x v="1"/>
    <x v="9"/>
    <x v="2"/>
    <n v="3"/>
    <n v="25"/>
    <x v="8"/>
    <x v="4"/>
  </r>
  <r>
    <x v="241"/>
    <d v="2023-05-02T00:00:00"/>
    <x v="241"/>
    <x v="0"/>
    <x v="34"/>
    <x v="1"/>
    <n v="1"/>
    <n v="25"/>
    <x v="16"/>
    <x v="4"/>
  </r>
  <r>
    <x v="242"/>
    <d v="2023-05-23T00:00:00"/>
    <x v="242"/>
    <x v="1"/>
    <x v="16"/>
    <x v="2"/>
    <n v="3"/>
    <n v="300"/>
    <x v="12"/>
    <x v="1"/>
  </r>
  <r>
    <x v="243"/>
    <d v="2023-12-09T00:00:00"/>
    <x v="243"/>
    <x v="0"/>
    <x v="20"/>
    <x v="0"/>
    <n v="2"/>
    <n v="50"/>
    <x v="4"/>
    <x v="0"/>
  </r>
  <r>
    <x v="244"/>
    <d v="2023-09-06T00:00:00"/>
    <x v="244"/>
    <x v="0"/>
    <x v="16"/>
    <x v="1"/>
    <n v="3"/>
    <n v="30"/>
    <x v="15"/>
    <x v="1"/>
  </r>
  <r>
    <x v="245"/>
    <d v="2023-04-20T00:00:00"/>
    <x v="245"/>
    <x v="1"/>
    <x v="27"/>
    <x v="2"/>
    <n v="2"/>
    <n v="25"/>
    <x v="5"/>
    <x v="1"/>
  </r>
  <r>
    <x v="246"/>
    <d v="2023-10-04T00:00:00"/>
    <x v="246"/>
    <x v="0"/>
    <x v="41"/>
    <x v="2"/>
    <n v="2"/>
    <n v="30"/>
    <x v="17"/>
    <x v="2"/>
  </r>
  <r>
    <x v="247"/>
    <d v="2023-03-09T00:00:00"/>
    <x v="247"/>
    <x v="0"/>
    <x v="1"/>
    <x v="1"/>
    <n v="3"/>
    <n v="300"/>
    <x v="12"/>
    <x v="0"/>
  </r>
  <r>
    <x v="248"/>
    <d v="2023-10-20T00:00:00"/>
    <x v="248"/>
    <x v="0"/>
    <x v="29"/>
    <x v="1"/>
    <n v="1"/>
    <n v="50"/>
    <x v="5"/>
    <x v="4"/>
  </r>
  <r>
    <x v="249"/>
    <d v="2023-10-23T00:00:00"/>
    <x v="249"/>
    <x v="0"/>
    <x v="27"/>
    <x v="2"/>
    <n v="1"/>
    <n v="50"/>
    <x v="5"/>
    <x v="1"/>
  </r>
  <r>
    <x v="250"/>
    <d v="2023-08-31T00:00:00"/>
    <x v="250"/>
    <x v="1"/>
    <x v="35"/>
    <x v="0"/>
    <n v="4"/>
    <n v="50"/>
    <x v="7"/>
    <x v="1"/>
  </r>
  <r>
    <x v="251"/>
    <d v="2023-05-05T00:00:00"/>
    <x v="251"/>
    <x v="0"/>
    <x v="31"/>
    <x v="2"/>
    <n v="1"/>
    <n v="300"/>
    <x v="13"/>
    <x v="1"/>
  </r>
  <r>
    <x v="252"/>
    <d v="2023-08-31T00:00:00"/>
    <x v="252"/>
    <x v="1"/>
    <x v="45"/>
    <x v="1"/>
    <n v="4"/>
    <n v="500"/>
    <x v="11"/>
    <x v="1"/>
  </r>
  <r>
    <x v="253"/>
    <d v="2023-07-28T00:00:00"/>
    <x v="253"/>
    <x v="0"/>
    <x v="41"/>
    <x v="2"/>
    <n v="1"/>
    <n v="500"/>
    <x v="3"/>
    <x v="2"/>
  </r>
  <r>
    <x v="254"/>
    <d v="2023-04-08T00:00:00"/>
    <x v="254"/>
    <x v="0"/>
    <x v="27"/>
    <x v="1"/>
    <n v="1"/>
    <n v="30"/>
    <x v="2"/>
    <x v="1"/>
  </r>
  <r>
    <x v="255"/>
    <d v="2023-02-18T00:00:00"/>
    <x v="255"/>
    <x v="0"/>
    <x v="9"/>
    <x v="1"/>
    <n v="2"/>
    <n v="500"/>
    <x v="1"/>
    <x v="4"/>
  </r>
  <r>
    <x v="256"/>
    <d v="2023-02-19T00:00:00"/>
    <x v="256"/>
    <x v="0"/>
    <x v="14"/>
    <x v="0"/>
    <n v="4"/>
    <n v="500"/>
    <x v="11"/>
    <x v="4"/>
  </r>
  <r>
    <x v="257"/>
    <d v="2023-12-04T00:00:00"/>
    <x v="257"/>
    <x v="1"/>
    <x v="3"/>
    <x v="1"/>
    <n v="1"/>
    <n v="50"/>
    <x v="5"/>
    <x v="2"/>
  </r>
  <r>
    <x v="258"/>
    <d v="2023-08-09T00:00:00"/>
    <x v="258"/>
    <x v="1"/>
    <x v="5"/>
    <x v="1"/>
    <n v="4"/>
    <n v="50"/>
    <x v="7"/>
    <x v="2"/>
  </r>
  <r>
    <x v="259"/>
    <d v="2023-07-01T00:00:00"/>
    <x v="259"/>
    <x v="0"/>
    <x v="20"/>
    <x v="0"/>
    <n v="2"/>
    <n v="30"/>
    <x v="17"/>
    <x v="0"/>
  </r>
  <r>
    <x v="260"/>
    <d v="2023-08-05T00:00:00"/>
    <x v="260"/>
    <x v="0"/>
    <x v="34"/>
    <x v="1"/>
    <n v="2"/>
    <n v="25"/>
    <x v="5"/>
    <x v="4"/>
  </r>
  <r>
    <x v="261"/>
    <d v="2023-07-30T00:00:00"/>
    <x v="261"/>
    <x v="1"/>
    <x v="40"/>
    <x v="0"/>
    <n v="4"/>
    <n v="30"/>
    <x v="10"/>
    <x v="0"/>
  </r>
  <r>
    <x v="262"/>
    <d v="2023-08-28T00:00:00"/>
    <x v="262"/>
    <x v="0"/>
    <x v="9"/>
    <x v="0"/>
    <n v="2"/>
    <n v="30"/>
    <x v="17"/>
    <x v="4"/>
  </r>
  <r>
    <x v="263"/>
    <d v="2023-01-28T00:00:00"/>
    <x v="263"/>
    <x v="0"/>
    <x v="16"/>
    <x v="1"/>
    <n v="3"/>
    <n v="300"/>
    <x v="12"/>
    <x v="1"/>
  </r>
  <r>
    <x v="264"/>
    <d v="2023-12-11T00:00:00"/>
    <x v="264"/>
    <x v="0"/>
    <x v="28"/>
    <x v="1"/>
    <n v="3"/>
    <n v="300"/>
    <x v="12"/>
    <x v="1"/>
  </r>
  <r>
    <x v="265"/>
    <d v="2023-12-01T00:00:00"/>
    <x v="265"/>
    <x v="1"/>
    <x v="14"/>
    <x v="2"/>
    <n v="2"/>
    <n v="30"/>
    <x v="17"/>
    <x v="4"/>
  </r>
  <r>
    <x v="266"/>
    <d v="2023-11-27T00:00:00"/>
    <x v="266"/>
    <x v="1"/>
    <x v="40"/>
    <x v="0"/>
    <n v="3"/>
    <n v="30"/>
    <x v="15"/>
    <x v="0"/>
  </r>
  <r>
    <x v="267"/>
    <d v="2023-02-20T00:00:00"/>
    <x v="267"/>
    <x v="1"/>
    <x v="20"/>
    <x v="2"/>
    <n v="1"/>
    <n v="30"/>
    <x v="2"/>
    <x v="0"/>
  </r>
  <r>
    <x v="268"/>
    <d v="2023-02-01T00:00:00"/>
    <x v="268"/>
    <x v="0"/>
    <x v="36"/>
    <x v="1"/>
    <n v="4"/>
    <n v="500"/>
    <x v="11"/>
    <x v="4"/>
  </r>
  <r>
    <x v="269"/>
    <d v="2023-07-26T00:00:00"/>
    <x v="269"/>
    <x v="0"/>
    <x v="22"/>
    <x v="2"/>
    <n v="1"/>
    <n v="300"/>
    <x v="13"/>
    <x v="2"/>
  </r>
  <r>
    <x v="270"/>
    <d v="2023-06-23T00:00:00"/>
    <x v="270"/>
    <x v="1"/>
    <x v="17"/>
    <x v="0"/>
    <n v="4"/>
    <n v="30"/>
    <x v="10"/>
    <x v="3"/>
  </r>
  <r>
    <x v="271"/>
    <d v="2023-02-25T00:00:00"/>
    <x v="271"/>
    <x v="1"/>
    <x v="39"/>
    <x v="2"/>
    <n v="2"/>
    <n v="50"/>
    <x v="4"/>
    <x v="3"/>
  </r>
  <r>
    <x v="272"/>
    <d v="2023-05-08T00:00:00"/>
    <x v="272"/>
    <x v="1"/>
    <x v="11"/>
    <x v="0"/>
    <n v="1"/>
    <n v="50"/>
    <x v="5"/>
    <x v="4"/>
  </r>
  <r>
    <x v="273"/>
    <d v="2023-04-09T00:00:00"/>
    <x v="273"/>
    <x v="1"/>
    <x v="9"/>
    <x v="1"/>
    <n v="2"/>
    <n v="500"/>
    <x v="1"/>
    <x v="4"/>
  </r>
  <r>
    <x v="274"/>
    <d v="2023-04-08T00:00:00"/>
    <x v="274"/>
    <x v="0"/>
    <x v="22"/>
    <x v="1"/>
    <n v="2"/>
    <n v="500"/>
    <x v="1"/>
    <x v="2"/>
  </r>
  <r>
    <x v="275"/>
    <d v="2023-10-02T00:00:00"/>
    <x v="275"/>
    <x v="1"/>
    <x v="34"/>
    <x v="0"/>
    <n v="4"/>
    <n v="25"/>
    <x v="4"/>
    <x v="4"/>
  </r>
  <r>
    <x v="276"/>
    <d v="2023-08-18T00:00:00"/>
    <x v="276"/>
    <x v="0"/>
    <x v="32"/>
    <x v="1"/>
    <n v="4"/>
    <n v="25"/>
    <x v="4"/>
    <x v="2"/>
  </r>
  <r>
    <x v="277"/>
    <d v="2023-03-13T00:00:00"/>
    <x v="277"/>
    <x v="1"/>
    <x v="3"/>
    <x v="1"/>
    <n v="4"/>
    <n v="25"/>
    <x v="4"/>
    <x v="2"/>
  </r>
  <r>
    <x v="278"/>
    <d v="2023-08-05T00:00:00"/>
    <x v="278"/>
    <x v="0"/>
    <x v="2"/>
    <x v="1"/>
    <n v="1"/>
    <n v="500"/>
    <x v="3"/>
    <x v="1"/>
  </r>
  <r>
    <x v="279"/>
    <d v="2023-04-04T00:00:00"/>
    <x v="279"/>
    <x v="1"/>
    <x v="3"/>
    <x v="1"/>
    <n v="3"/>
    <n v="500"/>
    <x v="9"/>
    <x v="2"/>
  </r>
  <r>
    <x v="280"/>
    <d v="2023-05-23T00:00:00"/>
    <x v="280"/>
    <x v="1"/>
    <x v="38"/>
    <x v="0"/>
    <n v="4"/>
    <n v="500"/>
    <x v="11"/>
    <x v="0"/>
  </r>
  <r>
    <x v="281"/>
    <d v="2023-08-25T00:00:00"/>
    <x v="281"/>
    <x v="1"/>
    <x v="12"/>
    <x v="2"/>
    <n v="4"/>
    <n v="50"/>
    <x v="7"/>
    <x v="3"/>
  </r>
  <r>
    <x v="282"/>
    <d v="2023-05-08T00:00:00"/>
    <x v="282"/>
    <x v="1"/>
    <x v="18"/>
    <x v="2"/>
    <n v="1"/>
    <n v="500"/>
    <x v="3"/>
    <x v="4"/>
  </r>
  <r>
    <x v="283"/>
    <d v="2023-02-08T00:00:00"/>
    <x v="283"/>
    <x v="0"/>
    <x v="22"/>
    <x v="1"/>
    <n v="4"/>
    <n v="50"/>
    <x v="7"/>
    <x v="2"/>
  </r>
  <r>
    <x v="284"/>
    <d v="2023-08-15T00:00:00"/>
    <x v="284"/>
    <x v="1"/>
    <x v="33"/>
    <x v="2"/>
    <n v="1"/>
    <n v="25"/>
    <x v="16"/>
    <x v="0"/>
  </r>
  <r>
    <x v="285"/>
    <d v="2023-10-09T00:00:00"/>
    <x v="285"/>
    <x v="0"/>
    <x v="28"/>
    <x v="2"/>
    <n v="2"/>
    <n v="25"/>
    <x v="5"/>
    <x v="1"/>
  </r>
  <r>
    <x v="286"/>
    <d v="2023-02-20T00:00:00"/>
    <x v="286"/>
    <x v="0"/>
    <x v="31"/>
    <x v="1"/>
    <n v="4"/>
    <n v="25"/>
    <x v="4"/>
    <x v="1"/>
  </r>
  <r>
    <x v="287"/>
    <d v="2023-01-26T00:00:00"/>
    <x v="287"/>
    <x v="0"/>
    <x v="20"/>
    <x v="1"/>
    <n v="4"/>
    <n v="30"/>
    <x v="10"/>
    <x v="0"/>
  </r>
  <r>
    <x v="288"/>
    <d v="2023-11-30T00:00:00"/>
    <x v="288"/>
    <x v="0"/>
    <x v="45"/>
    <x v="2"/>
    <n v="2"/>
    <n v="30"/>
    <x v="17"/>
    <x v="1"/>
  </r>
  <r>
    <x v="289"/>
    <d v="2023-10-04T00:00:00"/>
    <x v="289"/>
    <x v="1"/>
    <x v="4"/>
    <x v="0"/>
    <n v="2"/>
    <n v="300"/>
    <x v="6"/>
    <x v="0"/>
  </r>
  <r>
    <x v="290"/>
    <d v="2023-01-08T00:00:00"/>
    <x v="290"/>
    <x v="0"/>
    <x v="43"/>
    <x v="1"/>
    <n v="2"/>
    <n v="300"/>
    <x v="6"/>
    <x v="1"/>
  </r>
  <r>
    <x v="291"/>
    <d v="2023-02-17T00:00:00"/>
    <x v="291"/>
    <x v="0"/>
    <x v="29"/>
    <x v="0"/>
    <n v="4"/>
    <n v="300"/>
    <x v="14"/>
    <x v="4"/>
  </r>
  <r>
    <x v="292"/>
    <d v="2023-05-02T00:00:00"/>
    <x v="292"/>
    <x v="0"/>
    <x v="2"/>
    <x v="2"/>
    <n v="3"/>
    <n v="30"/>
    <x v="15"/>
    <x v="1"/>
  </r>
  <r>
    <x v="293"/>
    <d v="2023-03-27T00:00:00"/>
    <x v="293"/>
    <x v="1"/>
    <x v="9"/>
    <x v="1"/>
    <n v="3"/>
    <n v="30"/>
    <x v="15"/>
    <x v="4"/>
  </r>
  <r>
    <x v="294"/>
    <d v="2023-07-28T00:00:00"/>
    <x v="294"/>
    <x v="1"/>
    <x v="15"/>
    <x v="0"/>
    <n v="3"/>
    <n v="300"/>
    <x v="12"/>
    <x v="0"/>
  </r>
  <r>
    <x v="295"/>
    <d v="2023-09-06T00:00:00"/>
    <x v="295"/>
    <x v="1"/>
    <x v="11"/>
    <x v="1"/>
    <n v="4"/>
    <n v="300"/>
    <x v="14"/>
    <x v="4"/>
  </r>
  <r>
    <x v="296"/>
    <d v="2023-09-04T00:00:00"/>
    <x v="296"/>
    <x v="1"/>
    <x v="30"/>
    <x v="2"/>
    <n v="2"/>
    <n v="500"/>
    <x v="1"/>
    <x v="2"/>
  </r>
  <r>
    <x v="297"/>
    <d v="2023-04-20T00:00:00"/>
    <x v="297"/>
    <x v="0"/>
    <x v="15"/>
    <x v="0"/>
    <n v="4"/>
    <n v="300"/>
    <x v="14"/>
    <x v="0"/>
  </r>
  <r>
    <x v="298"/>
    <d v="2023-07-25T00:00:00"/>
    <x v="298"/>
    <x v="0"/>
    <x v="39"/>
    <x v="2"/>
    <n v="2"/>
    <n v="500"/>
    <x v="1"/>
    <x v="3"/>
  </r>
  <r>
    <x v="299"/>
    <d v="2023-01-31T00:00:00"/>
    <x v="299"/>
    <x v="1"/>
    <x v="14"/>
    <x v="2"/>
    <n v="4"/>
    <n v="50"/>
    <x v="7"/>
    <x v="4"/>
  </r>
  <r>
    <x v="300"/>
    <d v="2023-03-26T00:00:00"/>
    <x v="300"/>
    <x v="0"/>
    <x v="4"/>
    <x v="1"/>
    <n v="4"/>
    <n v="30"/>
    <x v="10"/>
    <x v="0"/>
  </r>
  <r>
    <x v="301"/>
    <d v="2023-07-14T00:00:00"/>
    <x v="301"/>
    <x v="0"/>
    <x v="35"/>
    <x v="0"/>
    <n v="2"/>
    <n v="300"/>
    <x v="6"/>
    <x v="1"/>
  </r>
  <r>
    <x v="302"/>
    <d v="2023-01-02T00:00:00"/>
    <x v="302"/>
    <x v="0"/>
    <x v="14"/>
    <x v="2"/>
    <n v="3"/>
    <n v="30"/>
    <x v="15"/>
    <x v="4"/>
  </r>
  <r>
    <x v="303"/>
    <d v="2023-07-19T00:00:00"/>
    <x v="303"/>
    <x v="1"/>
    <x v="3"/>
    <x v="2"/>
    <n v="2"/>
    <n v="30"/>
    <x v="17"/>
    <x v="2"/>
  </r>
  <r>
    <x v="304"/>
    <d v="2023-05-16T00:00:00"/>
    <x v="304"/>
    <x v="1"/>
    <x v="18"/>
    <x v="0"/>
    <n v="1"/>
    <n v="30"/>
    <x v="2"/>
    <x v="4"/>
  </r>
  <r>
    <x v="305"/>
    <d v="2023-08-21T00:00:00"/>
    <x v="305"/>
    <x v="0"/>
    <x v="31"/>
    <x v="2"/>
    <n v="1"/>
    <n v="50"/>
    <x v="5"/>
    <x v="1"/>
  </r>
  <r>
    <x v="306"/>
    <d v="2023-05-27T00:00:00"/>
    <x v="306"/>
    <x v="1"/>
    <x v="1"/>
    <x v="2"/>
    <n v="2"/>
    <n v="25"/>
    <x v="5"/>
    <x v="0"/>
  </r>
  <r>
    <x v="307"/>
    <d v="2023-08-05T00:00:00"/>
    <x v="307"/>
    <x v="1"/>
    <x v="0"/>
    <x v="0"/>
    <n v="4"/>
    <n v="300"/>
    <x v="14"/>
    <x v="0"/>
  </r>
  <r>
    <x v="308"/>
    <d v="2023-12-23T00:00:00"/>
    <x v="308"/>
    <x v="1"/>
    <x v="1"/>
    <x v="0"/>
    <n v="1"/>
    <n v="25"/>
    <x v="16"/>
    <x v="0"/>
  </r>
  <r>
    <x v="309"/>
    <d v="2023-10-12T00:00:00"/>
    <x v="309"/>
    <x v="1"/>
    <x v="20"/>
    <x v="0"/>
    <n v="1"/>
    <n v="25"/>
    <x v="16"/>
    <x v="0"/>
  </r>
  <r>
    <x v="310"/>
    <d v="2023-12-05T00:00:00"/>
    <x v="310"/>
    <x v="1"/>
    <x v="40"/>
    <x v="0"/>
    <n v="4"/>
    <n v="25"/>
    <x v="4"/>
    <x v="0"/>
  </r>
  <r>
    <x v="311"/>
    <d v="2023-09-07T00:00:00"/>
    <x v="311"/>
    <x v="0"/>
    <x v="41"/>
    <x v="1"/>
    <n v="4"/>
    <n v="30"/>
    <x v="10"/>
    <x v="2"/>
  </r>
  <r>
    <x v="312"/>
    <d v="2023-03-21T00:00:00"/>
    <x v="312"/>
    <x v="1"/>
    <x v="28"/>
    <x v="0"/>
    <n v="3"/>
    <n v="500"/>
    <x v="9"/>
    <x v="1"/>
  </r>
  <r>
    <x v="313"/>
    <d v="2023-04-08T00:00:00"/>
    <x v="313"/>
    <x v="0"/>
    <x v="8"/>
    <x v="1"/>
    <n v="4"/>
    <n v="30"/>
    <x v="10"/>
    <x v="1"/>
  </r>
  <r>
    <x v="314"/>
    <d v="2023-06-01T00:00:00"/>
    <x v="314"/>
    <x v="0"/>
    <x v="16"/>
    <x v="1"/>
    <n v="2"/>
    <n v="30"/>
    <x v="17"/>
    <x v="1"/>
  </r>
  <r>
    <x v="315"/>
    <d v="2023-04-22T00:00:00"/>
    <x v="315"/>
    <x v="1"/>
    <x v="27"/>
    <x v="1"/>
    <n v="2"/>
    <n v="25"/>
    <x v="5"/>
    <x v="1"/>
  </r>
  <r>
    <x v="316"/>
    <d v="2023-01-30T00:00:00"/>
    <x v="316"/>
    <x v="0"/>
    <x v="11"/>
    <x v="2"/>
    <n v="3"/>
    <n v="30"/>
    <x v="15"/>
    <x v="4"/>
  </r>
  <r>
    <x v="317"/>
    <d v="2023-10-24T00:00:00"/>
    <x v="317"/>
    <x v="0"/>
    <x v="39"/>
    <x v="1"/>
    <n v="1"/>
    <n v="25"/>
    <x v="16"/>
    <x v="3"/>
  </r>
  <r>
    <x v="318"/>
    <d v="2023-10-05T00:00:00"/>
    <x v="318"/>
    <x v="0"/>
    <x v="33"/>
    <x v="1"/>
    <n v="1"/>
    <n v="500"/>
    <x v="3"/>
    <x v="0"/>
  </r>
  <r>
    <x v="319"/>
    <d v="2023-02-01T00:00:00"/>
    <x v="319"/>
    <x v="1"/>
    <x v="20"/>
    <x v="2"/>
    <n v="4"/>
    <n v="300"/>
    <x v="14"/>
    <x v="0"/>
  </r>
  <r>
    <x v="320"/>
    <d v="2023-06-10T00:00:00"/>
    <x v="320"/>
    <x v="1"/>
    <x v="1"/>
    <x v="2"/>
    <n v="2"/>
    <n v="25"/>
    <x v="5"/>
    <x v="0"/>
  </r>
  <r>
    <x v="321"/>
    <d v="2023-01-30T00:00:00"/>
    <x v="321"/>
    <x v="0"/>
    <x v="25"/>
    <x v="2"/>
    <n v="1"/>
    <n v="500"/>
    <x v="3"/>
    <x v="1"/>
  </r>
  <r>
    <x v="322"/>
    <d v="2023-01-26T00:00:00"/>
    <x v="322"/>
    <x v="1"/>
    <x v="38"/>
    <x v="0"/>
    <n v="3"/>
    <n v="300"/>
    <x v="12"/>
    <x v="0"/>
  </r>
  <r>
    <x v="323"/>
    <d v="2023-10-27T00:00:00"/>
    <x v="323"/>
    <x v="1"/>
    <x v="8"/>
    <x v="2"/>
    <n v="3"/>
    <n v="50"/>
    <x v="0"/>
    <x v="1"/>
  </r>
  <r>
    <x v="324"/>
    <d v="2023-09-02T00:00:00"/>
    <x v="324"/>
    <x v="1"/>
    <x v="8"/>
    <x v="2"/>
    <n v="2"/>
    <n v="25"/>
    <x v="5"/>
    <x v="1"/>
  </r>
  <r>
    <x v="325"/>
    <d v="2023-09-15T00:00:00"/>
    <x v="325"/>
    <x v="1"/>
    <x v="18"/>
    <x v="1"/>
    <n v="3"/>
    <n v="25"/>
    <x v="8"/>
    <x v="4"/>
  </r>
  <r>
    <x v="326"/>
    <d v="2023-09-29T00:00:00"/>
    <x v="326"/>
    <x v="0"/>
    <x v="35"/>
    <x v="2"/>
    <n v="3"/>
    <n v="50"/>
    <x v="0"/>
    <x v="1"/>
  </r>
  <r>
    <x v="327"/>
    <d v="2023-03-22T00:00:00"/>
    <x v="327"/>
    <x v="0"/>
    <x v="23"/>
    <x v="0"/>
    <n v="2"/>
    <n v="50"/>
    <x v="4"/>
    <x v="2"/>
  </r>
  <r>
    <x v="328"/>
    <d v="2023-01-30T00:00:00"/>
    <x v="328"/>
    <x v="1"/>
    <x v="6"/>
    <x v="2"/>
    <n v="4"/>
    <n v="25"/>
    <x v="4"/>
    <x v="1"/>
  </r>
  <r>
    <x v="329"/>
    <d v="2023-09-18T00:00:00"/>
    <x v="329"/>
    <x v="1"/>
    <x v="36"/>
    <x v="0"/>
    <n v="4"/>
    <n v="50"/>
    <x v="7"/>
    <x v="4"/>
  </r>
  <r>
    <x v="330"/>
    <d v="2023-02-11T00:00:00"/>
    <x v="330"/>
    <x v="0"/>
    <x v="20"/>
    <x v="2"/>
    <n v="3"/>
    <n v="30"/>
    <x v="15"/>
    <x v="0"/>
  </r>
  <r>
    <x v="331"/>
    <d v="2023-04-06T00:00:00"/>
    <x v="331"/>
    <x v="0"/>
    <x v="26"/>
    <x v="2"/>
    <n v="4"/>
    <n v="300"/>
    <x v="14"/>
    <x v="1"/>
  </r>
  <r>
    <x v="332"/>
    <d v="2023-02-05T00:00:00"/>
    <x v="332"/>
    <x v="1"/>
    <x v="31"/>
    <x v="2"/>
    <n v="4"/>
    <n v="300"/>
    <x v="14"/>
    <x v="1"/>
  </r>
  <r>
    <x v="333"/>
    <d v="2023-11-01T00:00:00"/>
    <x v="333"/>
    <x v="0"/>
    <x v="33"/>
    <x v="2"/>
    <n v="3"/>
    <n v="300"/>
    <x v="12"/>
    <x v="0"/>
  </r>
  <r>
    <x v="334"/>
    <d v="2023-02-04T00:00:00"/>
    <x v="334"/>
    <x v="1"/>
    <x v="16"/>
    <x v="0"/>
    <n v="4"/>
    <n v="30"/>
    <x v="10"/>
    <x v="1"/>
  </r>
  <r>
    <x v="335"/>
    <d v="2023-12-12T00:00:00"/>
    <x v="335"/>
    <x v="1"/>
    <x v="8"/>
    <x v="0"/>
    <n v="3"/>
    <n v="50"/>
    <x v="0"/>
    <x v="1"/>
  </r>
  <r>
    <x v="336"/>
    <d v="2023-05-01T00:00:00"/>
    <x v="336"/>
    <x v="0"/>
    <x v="21"/>
    <x v="1"/>
    <n v="1"/>
    <n v="500"/>
    <x v="3"/>
    <x v="2"/>
  </r>
  <r>
    <x v="337"/>
    <d v="2023-07-26T00:00:00"/>
    <x v="337"/>
    <x v="0"/>
    <x v="31"/>
    <x v="0"/>
    <n v="2"/>
    <n v="50"/>
    <x v="4"/>
    <x v="1"/>
  </r>
  <r>
    <x v="338"/>
    <d v="2023-03-03T00:00:00"/>
    <x v="338"/>
    <x v="1"/>
    <x v="11"/>
    <x v="2"/>
    <n v="2"/>
    <n v="25"/>
    <x v="5"/>
    <x v="4"/>
  </r>
  <r>
    <x v="339"/>
    <d v="2023-10-19T00:00:00"/>
    <x v="339"/>
    <x v="1"/>
    <x v="32"/>
    <x v="1"/>
    <n v="4"/>
    <n v="300"/>
    <x v="14"/>
    <x v="2"/>
  </r>
  <r>
    <x v="340"/>
    <d v="2023-05-07T00:00:00"/>
    <x v="340"/>
    <x v="0"/>
    <x v="33"/>
    <x v="1"/>
    <n v="4"/>
    <n v="50"/>
    <x v="7"/>
    <x v="0"/>
  </r>
  <r>
    <x v="341"/>
    <d v="2023-10-24T00:00:00"/>
    <x v="341"/>
    <x v="1"/>
    <x v="22"/>
    <x v="1"/>
    <n v="4"/>
    <n v="500"/>
    <x v="11"/>
    <x v="2"/>
  </r>
  <r>
    <x v="342"/>
    <d v="2023-11-01T00:00:00"/>
    <x v="342"/>
    <x v="0"/>
    <x v="34"/>
    <x v="2"/>
    <n v="2"/>
    <n v="25"/>
    <x v="5"/>
    <x v="4"/>
  </r>
  <r>
    <x v="343"/>
    <d v="2023-01-21T00:00:00"/>
    <x v="343"/>
    <x v="1"/>
    <x v="13"/>
    <x v="0"/>
    <n v="1"/>
    <n v="30"/>
    <x v="2"/>
    <x v="2"/>
  </r>
  <r>
    <x v="344"/>
    <d v="2023-11-14T00:00:00"/>
    <x v="344"/>
    <x v="0"/>
    <x v="17"/>
    <x v="2"/>
    <n v="1"/>
    <n v="30"/>
    <x v="2"/>
    <x v="3"/>
  </r>
  <r>
    <x v="345"/>
    <d v="2023-02-11T00:00:00"/>
    <x v="345"/>
    <x v="0"/>
    <x v="42"/>
    <x v="1"/>
    <n v="2"/>
    <n v="500"/>
    <x v="1"/>
    <x v="1"/>
  </r>
  <r>
    <x v="346"/>
    <d v="2023-08-03T00:00:00"/>
    <x v="346"/>
    <x v="0"/>
    <x v="13"/>
    <x v="2"/>
    <n v="1"/>
    <n v="25"/>
    <x v="16"/>
    <x v="2"/>
  </r>
  <r>
    <x v="347"/>
    <d v="2023-12-03T00:00:00"/>
    <x v="347"/>
    <x v="1"/>
    <x v="10"/>
    <x v="2"/>
    <n v="2"/>
    <n v="300"/>
    <x v="6"/>
    <x v="0"/>
  </r>
  <r>
    <x v="348"/>
    <d v="2023-10-26T00:00:00"/>
    <x v="348"/>
    <x v="1"/>
    <x v="35"/>
    <x v="0"/>
    <n v="1"/>
    <n v="50"/>
    <x v="5"/>
    <x v="1"/>
  </r>
  <r>
    <x v="349"/>
    <d v="2023-10-17T00:00:00"/>
    <x v="349"/>
    <x v="0"/>
    <x v="36"/>
    <x v="0"/>
    <n v="3"/>
    <n v="25"/>
    <x v="8"/>
    <x v="4"/>
  </r>
  <r>
    <x v="350"/>
    <d v="2023-09-25T00:00:00"/>
    <x v="350"/>
    <x v="1"/>
    <x v="37"/>
    <x v="1"/>
    <n v="3"/>
    <n v="30"/>
    <x v="15"/>
    <x v="1"/>
  </r>
  <r>
    <x v="351"/>
    <d v="2023-06-11T00:00:00"/>
    <x v="351"/>
    <x v="0"/>
    <x v="35"/>
    <x v="2"/>
    <n v="2"/>
    <n v="500"/>
    <x v="1"/>
    <x v="1"/>
  </r>
  <r>
    <x v="352"/>
    <d v="2023-05-14T00:00:00"/>
    <x v="352"/>
    <x v="0"/>
    <x v="33"/>
    <x v="2"/>
    <n v="1"/>
    <n v="500"/>
    <x v="3"/>
    <x v="0"/>
  </r>
  <r>
    <x v="353"/>
    <d v="2023-04-15T00:00:00"/>
    <x v="353"/>
    <x v="1"/>
    <x v="19"/>
    <x v="0"/>
    <n v="4"/>
    <n v="50"/>
    <x v="7"/>
    <x v="1"/>
  </r>
  <r>
    <x v="354"/>
    <d v="2023-12-09T00:00:00"/>
    <x v="354"/>
    <x v="1"/>
    <x v="28"/>
    <x v="2"/>
    <n v="1"/>
    <n v="500"/>
    <x v="3"/>
    <x v="1"/>
  </r>
  <r>
    <x v="355"/>
    <d v="2023-06-10T00:00:00"/>
    <x v="355"/>
    <x v="0"/>
    <x v="2"/>
    <x v="2"/>
    <n v="3"/>
    <n v="500"/>
    <x v="9"/>
    <x v="1"/>
  </r>
  <r>
    <x v="356"/>
    <d v="2023-05-03T00:00:00"/>
    <x v="356"/>
    <x v="1"/>
    <x v="30"/>
    <x v="2"/>
    <n v="3"/>
    <n v="25"/>
    <x v="8"/>
    <x v="2"/>
  </r>
  <r>
    <x v="357"/>
    <d v="2023-05-16T00:00:00"/>
    <x v="357"/>
    <x v="1"/>
    <x v="40"/>
    <x v="0"/>
    <n v="1"/>
    <n v="300"/>
    <x v="13"/>
    <x v="0"/>
  </r>
  <r>
    <x v="358"/>
    <d v="2023-07-22T00:00:00"/>
    <x v="358"/>
    <x v="0"/>
    <x v="2"/>
    <x v="1"/>
    <n v="1"/>
    <n v="50"/>
    <x v="5"/>
    <x v="1"/>
  </r>
  <r>
    <x v="359"/>
    <d v="2023-03-09T00:00:00"/>
    <x v="359"/>
    <x v="0"/>
    <x v="13"/>
    <x v="1"/>
    <n v="4"/>
    <n v="25"/>
    <x v="4"/>
    <x v="2"/>
  </r>
  <r>
    <x v="360"/>
    <d v="2023-12-10T00:00:00"/>
    <x v="360"/>
    <x v="1"/>
    <x v="0"/>
    <x v="2"/>
    <n v="4"/>
    <n v="300"/>
    <x v="14"/>
    <x v="0"/>
  </r>
  <r>
    <x v="361"/>
    <d v="2023-11-27T00:00:00"/>
    <x v="361"/>
    <x v="0"/>
    <x v="2"/>
    <x v="1"/>
    <n v="1"/>
    <n v="25"/>
    <x v="16"/>
    <x v="1"/>
  </r>
  <r>
    <x v="362"/>
    <d v="2023-06-03T00:00:00"/>
    <x v="362"/>
    <x v="0"/>
    <x v="12"/>
    <x v="0"/>
    <n v="1"/>
    <n v="25"/>
    <x v="16"/>
    <x v="3"/>
  </r>
  <r>
    <x v="363"/>
    <d v="2023-08-23T00:00:00"/>
    <x v="363"/>
    <x v="1"/>
    <x v="14"/>
    <x v="0"/>
    <n v="1"/>
    <n v="500"/>
    <x v="3"/>
    <x v="4"/>
  </r>
  <r>
    <x v="364"/>
    <d v="2023-06-11T00:00:00"/>
    <x v="364"/>
    <x v="0"/>
    <x v="33"/>
    <x v="1"/>
    <n v="1"/>
    <n v="300"/>
    <x v="13"/>
    <x v="0"/>
  </r>
  <r>
    <x v="365"/>
    <d v="2023-02-07T00:00:00"/>
    <x v="365"/>
    <x v="0"/>
    <x v="35"/>
    <x v="1"/>
    <n v="2"/>
    <n v="50"/>
    <x v="4"/>
    <x v="1"/>
  </r>
  <r>
    <x v="366"/>
    <d v="2023-01-05T00:00:00"/>
    <x v="366"/>
    <x v="1"/>
    <x v="35"/>
    <x v="2"/>
    <n v="1"/>
    <n v="50"/>
    <x v="5"/>
    <x v="1"/>
  </r>
  <r>
    <x v="367"/>
    <d v="2023-08-23T00:00:00"/>
    <x v="367"/>
    <x v="1"/>
    <x v="37"/>
    <x v="1"/>
    <n v="4"/>
    <n v="300"/>
    <x v="14"/>
    <x v="1"/>
  </r>
  <r>
    <x v="368"/>
    <d v="2023-11-15T00:00:00"/>
    <x v="368"/>
    <x v="0"/>
    <x v="9"/>
    <x v="2"/>
    <n v="3"/>
    <n v="500"/>
    <x v="9"/>
    <x v="4"/>
  </r>
  <r>
    <x v="369"/>
    <d v="2023-10-16T00:00:00"/>
    <x v="369"/>
    <x v="0"/>
    <x v="9"/>
    <x v="2"/>
    <n v="2"/>
    <n v="30"/>
    <x v="17"/>
    <x v="4"/>
  </r>
  <r>
    <x v="370"/>
    <d v="2023-02-21T00:00:00"/>
    <x v="370"/>
    <x v="1"/>
    <x v="29"/>
    <x v="0"/>
    <n v="1"/>
    <n v="25"/>
    <x v="16"/>
    <x v="4"/>
  </r>
  <r>
    <x v="371"/>
    <d v="2023-02-07T00:00:00"/>
    <x v="371"/>
    <x v="1"/>
    <x v="46"/>
    <x v="0"/>
    <n v="3"/>
    <n v="500"/>
    <x v="9"/>
    <x v="4"/>
  </r>
  <r>
    <x v="372"/>
    <d v="2023-10-03T00:00:00"/>
    <x v="372"/>
    <x v="1"/>
    <x v="36"/>
    <x v="0"/>
    <n v="2"/>
    <n v="300"/>
    <x v="6"/>
    <x v="4"/>
  </r>
  <r>
    <x v="373"/>
    <d v="2023-04-20T00:00:00"/>
    <x v="373"/>
    <x v="1"/>
    <x v="42"/>
    <x v="0"/>
    <n v="3"/>
    <n v="25"/>
    <x v="8"/>
    <x v="1"/>
  </r>
  <r>
    <x v="374"/>
    <d v="2023-09-17T00:00:00"/>
    <x v="374"/>
    <x v="0"/>
    <x v="40"/>
    <x v="1"/>
    <n v="1"/>
    <n v="50"/>
    <x v="5"/>
    <x v="0"/>
  </r>
  <r>
    <x v="375"/>
    <d v="2023-05-16T00:00:00"/>
    <x v="375"/>
    <x v="1"/>
    <x v="12"/>
    <x v="0"/>
    <n v="1"/>
    <n v="30"/>
    <x v="2"/>
    <x v="3"/>
  </r>
  <r>
    <x v="376"/>
    <d v="2023-03-09T00:00:00"/>
    <x v="376"/>
    <x v="1"/>
    <x v="6"/>
    <x v="1"/>
    <n v="4"/>
    <n v="50"/>
    <x v="7"/>
    <x v="1"/>
  </r>
  <r>
    <x v="377"/>
    <d v="2023-06-28T00:00:00"/>
    <x v="377"/>
    <x v="0"/>
    <x v="2"/>
    <x v="0"/>
    <n v="1"/>
    <n v="300"/>
    <x v="13"/>
    <x v="1"/>
  </r>
  <r>
    <x v="378"/>
    <d v="2023-02-05T00:00:00"/>
    <x v="378"/>
    <x v="1"/>
    <x v="16"/>
    <x v="1"/>
    <n v="1"/>
    <n v="25"/>
    <x v="16"/>
    <x v="1"/>
  </r>
  <r>
    <x v="379"/>
    <d v="2023-05-06T00:00:00"/>
    <x v="379"/>
    <x v="0"/>
    <x v="37"/>
    <x v="2"/>
    <n v="2"/>
    <n v="300"/>
    <x v="6"/>
    <x v="1"/>
  </r>
  <r>
    <x v="380"/>
    <d v="2023-07-09T00:00:00"/>
    <x v="380"/>
    <x v="1"/>
    <x v="24"/>
    <x v="1"/>
    <n v="4"/>
    <n v="25"/>
    <x v="4"/>
    <x v="2"/>
  </r>
  <r>
    <x v="381"/>
    <d v="2023-05-26T00:00:00"/>
    <x v="381"/>
    <x v="1"/>
    <x v="45"/>
    <x v="1"/>
    <n v="2"/>
    <n v="500"/>
    <x v="1"/>
    <x v="1"/>
  </r>
  <r>
    <x v="382"/>
    <d v="2023-03-22T00:00:00"/>
    <x v="382"/>
    <x v="1"/>
    <x v="6"/>
    <x v="0"/>
    <n v="3"/>
    <n v="30"/>
    <x v="15"/>
    <x v="1"/>
  </r>
  <r>
    <x v="383"/>
    <d v="2023-08-13T00:00:00"/>
    <x v="383"/>
    <x v="0"/>
    <x v="28"/>
    <x v="1"/>
    <n v="1"/>
    <n v="500"/>
    <x v="3"/>
    <x v="1"/>
  </r>
  <r>
    <x v="384"/>
    <d v="2023-10-06T00:00:00"/>
    <x v="384"/>
    <x v="0"/>
    <x v="2"/>
    <x v="2"/>
    <n v="3"/>
    <n v="500"/>
    <x v="9"/>
    <x v="1"/>
  </r>
  <r>
    <x v="385"/>
    <d v="2023-12-27T00:00:00"/>
    <x v="385"/>
    <x v="1"/>
    <x v="31"/>
    <x v="2"/>
    <n v="2"/>
    <n v="300"/>
    <x v="6"/>
    <x v="1"/>
  </r>
  <r>
    <x v="386"/>
    <d v="2023-06-04T00:00:00"/>
    <x v="386"/>
    <x v="0"/>
    <x v="24"/>
    <x v="0"/>
    <n v="1"/>
    <n v="30"/>
    <x v="2"/>
    <x v="2"/>
  </r>
  <r>
    <x v="387"/>
    <d v="2023-11-10T00:00:00"/>
    <x v="387"/>
    <x v="0"/>
    <x v="2"/>
    <x v="2"/>
    <n v="1"/>
    <n v="25"/>
    <x v="16"/>
    <x v="1"/>
  </r>
  <r>
    <x v="388"/>
    <d v="2023-12-01T00:00:00"/>
    <x v="388"/>
    <x v="0"/>
    <x v="34"/>
    <x v="1"/>
    <n v="2"/>
    <n v="25"/>
    <x v="5"/>
    <x v="4"/>
  </r>
  <r>
    <x v="389"/>
    <d v="2023-09-28T00:00:00"/>
    <x v="389"/>
    <x v="0"/>
    <x v="23"/>
    <x v="2"/>
    <n v="2"/>
    <n v="50"/>
    <x v="4"/>
    <x v="2"/>
  </r>
  <r>
    <x v="390"/>
    <d v="2023-01-05T00:00:00"/>
    <x v="390"/>
    <x v="0"/>
    <x v="14"/>
    <x v="0"/>
    <n v="2"/>
    <n v="25"/>
    <x v="5"/>
    <x v="4"/>
  </r>
  <r>
    <x v="391"/>
    <d v="2023-12-08T00:00:00"/>
    <x v="391"/>
    <x v="0"/>
    <x v="15"/>
    <x v="1"/>
    <n v="2"/>
    <n v="300"/>
    <x v="6"/>
    <x v="0"/>
  </r>
  <r>
    <x v="392"/>
    <d v="2023-10-11T00:00:00"/>
    <x v="392"/>
    <x v="1"/>
    <x v="11"/>
    <x v="0"/>
    <n v="2"/>
    <n v="500"/>
    <x v="1"/>
    <x v="4"/>
  </r>
  <r>
    <x v="393"/>
    <d v="2023-06-03T00:00:00"/>
    <x v="393"/>
    <x v="1"/>
    <x v="15"/>
    <x v="1"/>
    <n v="1"/>
    <n v="500"/>
    <x v="3"/>
    <x v="0"/>
  </r>
  <r>
    <x v="394"/>
    <d v="2023-12-06T00:00:00"/>
    <x v="394"/>
    <x v="0"/>
    <x v="2"/>
    <x v="2"/>
    <n v="2"/>
    <n v="500"/>
    <x v="1"/>
    <x v="1"/>
  </r>
  <r>
    <x v="395"/>
    <d v="2023-02-23T00:00:00"/>
    <x v="395"/>
    <x v="1"/>
    <x v="28"/>
    <x v="0"/>
    <n v="1"/>
    <n v="30"/>
    <x v="2"/>
    <x v="1"/>
  </r>
  <r>
    <x v="396"/>
    <d v="2023-03-10T00:00:00"/>
    <x v="396"/>
    <x v="1"/>
    <x v="4"/>
    <x v="0"/>
    <n v="1"/>
    <n v="25"/>
    <x v="16"/>
    <x v="0"/>
  </r>
  <r>
    <x v="397"/>
    <d v="2023-05-16T00:00:00"/>
    <x v="397"/>
    <x v="1"/>
    <x v="27"/>
    <x v="1"/>
    <n v="2"/>
    <n v="300"/>
    <x v="6"/>
    <x v="1"/>
  </r>
  <r>
    <x v="398"/>
    <d v="2023-03-01T00:00:00"/>
    <x v="398"/>
    <x v="1"/>
    <x v="12"/>
    <x v="0"/>
    <n v="2"/>
    <n v="30"/>
    <x v="17"/>
    <x v="3"/>
  </r>
  <r>
    <x v="399"/>
    <d v="2023-02-24T00:00:00"/>
    <x v="399"/>
    <x v="0"/>
    <x v="45"/>
    <x v="1"/>
    <n v="4"/>
    <n v="50"/>
    <x v="7"/>
    <x v="1"/>
  </r>
  <r>
    <x v="400"/>
    <d v="2023-10-11T00:00:00"/>
    <x v="400"/>
    <x v="1"/>
    <x v="17"/>
    <x v="1"/>
    <n v="1"/>
    <n v="300"/>
    <x v="13"/>
    <x v="3"/>
  </r>
  <r>
    <x v="401"/>
    <d v="2023-03-21T00:00:00"/>
    <x v="401"/>
    <x v="1"/>
    <x v="41"/>
    <x v="1"/>
    <n v="2"/>
    <n v="300"/>
    <x v="6"/>
    <x v="2"/>
  </r>
  <r>
    <x v="402"/>
    <d v="2023-05-20T00:00:00"/>
    <x v="402"/>
    <x v="0"/>
    <x v="40"/>
    <x v="1"/>
    <n v="2"/>
    <n v="300"/>
    <x v="6"/>
    <x v="0"/>
  </r>
  <r>
    <x v="403"/>
    <d v="2023-05-25T00:00:00"/>
    <x v="403"/>
    <x v="0"/>
    <x v="6"/>
    <x v="2"/>
    <n v="2"/>
    <n v="500"/>
    <x v="1"/>
    <x v="1"/>
  </r>
  <r>
    <x v="404"/>
    <d v="2023-11-06T00:00:00"/>
    <x v="404"/>
    <x v="1"/>
    <x v="36"/>
    <x v="1"/>
    <n v="4"/>
    <n v="300"/>
    <x v="14"/>
    <x v="4"/>
  </r>
  <r>
    <x v="405"/>
    <d v="2023-04-18T00:00:00"/>
    <x v="405"/>
    <x v="1"/>
    <x v="11"/>
    <x v="0"/>
    <n v="4"/>
    <n v="25"/>
    <x v="4"/>
    <x v="4"/>
  </r>
  <r>
    <x v="406"/>
    <d v="2023-06-25T00:00:00"/>
    <x v="406"/>
    <x v="1"/>
    <x v="6"/>
    <x v="2"/>
    <n v="3"/>
    <n v="300"/>
    <x v="12"/>
    <x v="1"/>
  </r>
  <r>
    <x v="407"/>
    <d v="2023-04-15T00:00:00"/>
    <x v="407"/>
    <x v="1"/>
    <x v="12"/>
    <x v="0"/>
    <n v="1"/>
    <n v="500"/>
    <x v="3"/>
    <x v="3"/>
  </r>
  <r>
    <x v="408"/>
    <d v="2023-12-18T00:00:00"/>
    <x v="408"/>
    <x v="1"/>
    <x v="34"/>
    <x v="2"/>
    <n v="3"/>
    <n v="300"/>
    <x v="12"/>
    <x v="4"/>
  </r>
  <r>
    <x v="409"/>
    <d v="2023-11-21T00:00:00"/>
    <x v="409"/>
    <x v="1"/>
    <x v="38"/>
    <x v="1"/>
    <n v="2"/>
    <n v="50"/>
    <x v="4"/>
    <x v="0"/>
  </r>
  <r>
    <x v="410"/>
    <d v="2023-05-16T00:00:00"/>
    <x v="410"/>
    <x v="0"/>
    <x v="17"/>
    <x v="2"/>
    <n v="4"/>
    <n v="50"/>
    <x v="7"/>
    <x v="3"/>
  </r>
  <r>
    <x v="411"/>
    <d v="2023-09-16T00:00:00"/>
    <x v="411"/>
    <x v="1"/>
    <x v="14"/>
    <x v="2"/>
    <n v="4"/>
    <n v="500"/>
    <x v="11"/>
    <x v="4"/>
  </r>
  <r>
    <x v="412"/>
    <d v="2023-09-08T00:00:00"/>
    <x v="412"/>
    <x v="1"/>
    <x v="24"/>
    <x v="0"/>
    <n v="3"/>
    <n v="25"/>
    <x v="8"/>
    <x v="2"/>
  </r>
  <r>
    <x v="413"/>
    <d v="2023-05-09T00:00:00"/>
    <x v="413"/>
    <x v="0"/>
    <x v="27"/>
    <x v="0"/>
    <n v="4"/>
    <n v="25"/>
    <x v="4"/>
    <x v="1"/>
  </r>
  <r>
    <x v="414"/>
    <d v="2023-01-27T00:00:00"/>
    <x v="414"/>
    <x v="0"/>
    <x v="45"/>
    <x v="1"/>
    <n v="2"/>
    <n v="30"/>
    <x v="17"/>
    <x v="1"/>
  </r>
  <r>
    <x v="415"/>
    <d v="2023-02-17T00:00:00"/>
    <x v="415"/>
    <x v="0"/>
    <x v="45"/>
    <x v="2"/>
    <n v="4"/>
    <n v="500"/>
    <x v="11"/>
    <x v="1"/>
  </r>
  <r>
    <x v="416"/>
    <d v="2023-11-21T00:00:00"/>
    <x v="416"/>
    <x v="0"/>
    <x v="22"/>
    <x v="2"/>
    <n v="3"/>
    <n v="300"/>
    <x v="12"/>
    <x v="2"/>
  </r>
  <r>
    <x v="417"/>
    <d v="2023-08-05T00:00:00"/>
    <x v="417"/>
    <x v="1"/>
    <x v="43"/>
    <x v="2"/>
    <n v="2"/>
    <n v="500"/>
    <x v="1"/>
    <x v="1"/>
  </r>
  <r>
    <x v="418"/>
    <d v="2023-05-22T00:00:00"/>
    <x v="418"/>
    <x v="1"/>
    <x v="24"/>
    <x v="1"/>
    <n v="3"/>
    <n v="30"/>
    <x v="15"/>
    <x v="2"/>
  </r>
  <r>
    <x v="419"/>
    <d v="2023-01-23T00:00:00"/>
    <x v="419"/>
    <x v="1"/>
    <x v="11"/>
    <x v="1"/>
    <n v="4"/>
    <n v="500"/>
    <x v="11"/>
    <x v="4"/>
  </r>
  <r>
    <x v="420"/>
    <d v="2023-01-02T00:00:00"/>
    <x v="420"/>
    <x v="1"/>
    <x v="3"/>
    <x v="1"/>
    <n v="3"/>
    <n v="500"/>
    <x v="9"/>
    <x v="2"/>
  </r>
  <r>
    <x v="421"/>
    <d v="2023-06-20T00:00:00"/>
    <x v="421"/>
    <x v="1"/>
    <x v="20"/>
    <x v="1"/>
    <n v="3"/>
    <n v="30"/>
    <x v="15"/>
    <x v="0"/>
  </r>
  <r>
    <x v="422"/>
    <d v="2023-03-08T00:00:00"/>
    <x v="422"/>
    <x v="1"/>
    <x v="15"/>
    <x v="1"/>
    <n v="1"/>
    <n v="25"/>
    <x v="16"/>
    <x v="0"/>
  </r>
  <r>
    <x v="423"/>
    <d v="2023-11-23T00:00:00"/>
    <x v="423"/>
    <x v="0"/>
    <x v="35"/>
    <x v="0"/>
    <n v="4"/>
    <n v="300"/>
    <x v="14"/>
    <x v="1"/>
  </r>
  <r>
    <x v="424"/>
    <d v="2023-05-15T00:00:00"/>
    <x v="424"/>
    <x v="1"/>
    <x v="28"/>
    <x v="2"/>
    <n v="4"/>
    <n v="30"/>
    <x v="10"/>
    <x v="1"/>
  </r>
  <r>
    <x v="425"/>
    <d v="2023-03-24T00:00:00"/>
    <x v="425"/>
    <x v="0"/>
    <x v="9"/>
    <x v="2"/>
    <n v="3"/>
    <n v="50"/>
    <x v="0"/>
    <x v="4"/>
  </r>
  <r>
    <x v="426"/>
    <d v="2023-08-15T00:00:00"/>
    <x v="426"/>
    <x v="0"/>
    <x v="36"/>
    <x v="2"/>
    <n v="1"/>
    <n v="25"/>
    <x v="16"/>
    <x v="4"/>
  </r>
  <r>
    <x v="427"/>
    <d v="2023-10-10T00:00:00"/>
    <x v="427"/>
    <x v="1"/>
    <x v="30"/>
    <x v="2"/>
    <n v="4"/>
    <n v="50"/>
    <x v="7"/>
    <x v="2"/>
  </r>
  <r>
    <x v="428"/>
    <d v="2023-12-28T00:00:00"/>
    <x v="428"/>
    <x v="0"/>
    <x v="12"/>
    <x v="2"/>
    <n v="2"/>
    <n v="25"/>
    <x v="5"/>
    <x v="3"/>
  </r>
  <r>
    <x v="429"/>
    <d v="2023-08-07T00:00:00"/>
    <x v="429"/>
    <x v="1"/>
    <x v="22"/>
    <x v="2"/>
    <n v="3"/>
    <n v="300"/>
    <x v="12"/>
    <x v="2"/>
  </r>
  <r>
    <x v="430"/>
    <d v="2023-10-15T00:00:00"/>
    <x v="430"/>
    <x v="0"/>
    <x v="7"/>
    <x v="2"/>
    <n v="4"/>
    <n v="300"/>
    <x v="14"/>
    <x v="3"/>
  </r>
  <r>
    <x v="431"/>
    <d v="2023-01-05T00:00:00"/>
    <x v="431"/>
    <x v="1"/>
    <x v="43"/>
    <x v="2"/>
    <n v="2"/>
    <n v="500"/>
    <x v="1"/>
    <x v="1"/>
  </r>
  <r>
    <x v="432"/>
    <d v="2023-02-27T00:00:00"/>
    <x v="432"/>
    <x v="0"/>
    <x v="38"/>
    <x v="0"/>
    <n v="4"/>
    <n v="50"/>
    <x v="7"/>
    <x v="0"/>
  </r>
  <r>
    <x v="433"/>
    <d v="2023-02-08T00:00:00"/>
    <x v="433"/>
    <x v="1"/>
    <x v="22"/>
    <x v="2"/>
    <n v="2"/>
    <n v="25"/>
    <x v="5"/>
    <x v="2"/>
  </r>
  <r>
    <x v="434"/>
    <d v="2023-12-20T00:00:00"/>
    <x v="434"/>
    <x v="1"/>
    <x v="4"/>
    <x v="0"/>
    <n v="3"/>
    <n v="300"/>
    <x v="12"/>
    <x v="0"/>
  </r>
  <r>
    <x v="435"/>
    <d v="2023-03-18T00:00:00"/>
    <x v="435"/>
    <x v="1"/>
    <x v="35"/>
    <x v="1"/>
    <n v="4"/>
    <n v="30"/>
    <x v="10"/>
    <x v="1"/>
  </r>
  <r>
    <x v="436"/>
    <d v="2023-10-07T00:00:00"/>
    <x v="436"/>
    <x v="1"/>
    <x v="10"/>
    <x v="2"/>
    <n v="4"/>
    <n v="300"/>
    <x v="14"/>
    <x v="0"/>
  </r>
  <r>
    <x v="437"/>
    <d v="2023-01-19T00:00:00"/>
    <x v="437"/>
    <x v="1"/>
    <x v="13"/>
    <x v="1"/>
    <n v="1"/>
    <n v="30"/>
    <x v="2"/>
    <x v="2"/>
  </r>
  <r>
    <x v="438"/>
    <d v="2023-07-09T00:00:00"/>
    <x v="438"/>
    <x v="0"/>
    <x v="2"/>
    <x v="1"/>
    <n v="3"/>
    <n v="25"/>
    <x v="8"/>
    <x v="1"/>
  </r>
  <r>
    <x v="439"/>
    <d v="2023-10-26T00:00:00"/>
    <x v="439"/>
    <x v="0"/>
    <x v="12"/>
    <x v="1"/>
    <n v="2"/>
    <n v="300"/>
    <x v="6"/>
    <x v="3"/>
  </r>
  <r>
    <x v="440"/>
    <d v="2023-10-10T00:00:00"/>
    <x v="440"/>
    <x v="0"/>
    <x v="35"/>
    <x v="0"/>
    <n v="4"/>
    <n v="300"/>
    <x v="14"/>
    <x v="1"/>
  </r>
  <r>
    <x v="441"/>
    <d v="2023-03-17T00:00:00"/>
    <x v="441"/>
    <x v="1"/>
    <x v="43"/>
    <x v="1"/>
    <n v="4"/>
    <n v="25"/>
    <x v="4"/>
    <x v="1"/>
  </r>
  <r>
    <x v="442"/>
    <d v="2023-08-09T00:00:00"/>
    <x v="442"/>
    <x v="0"/>
    <x v="38"/>
    <x v="1"/>
    <n v="2"/>
    <n v="300"/>
    <x v="6"/>
    <x v="0"/>
  </r>
  <r>
    <x v="443"/>
    <d v="2023-03-07T00:00:00"/>
    <x v="443"/>
    <x v="1"/>
    <x v="39"/>
    <x v="1"/>
    <n v="3"/>
    <n v="30"/>
    <x v="15"/>
    <x v="3"/>
  </r>
  <r>
    <x v="444"/>
    <d v="2023-01-22T00:00:00"/>
    <x v="444"/>
    <x v="1"/>
    <x v="45"/>
    <x v="2"/>
    <n v="1"/>
    <n v="300"/>
    <x v="13"/>
    <x v="1"/>
  </r>
  <r>
    <x v="445"/>
    <d v="2023-06-07T00:00:00"/>
    <x v="445"/>
    <x v="0"/>
    <x v="34"/>
    <x v="2"/>
    <n v="1"/>
    <n v="50"/>
    <x v="5"/>
    <x v="4"/>
  </r>
  <r>
    <x v="446"/>
    <d v="2023-07-06T00:00:00"/>
    <x v="446"/>
    <x v="0"/>
    <x v="11"/>
    <x v="0"/>
    <n v="4"/>
    <n v="500"/>
    <x v="11"/>
    <x v="4"/>
  </r>
  <r>
    <x v="447"/>
    <d v="2023-01-21T00:00:00"/>
    <x v="447"/>
    <x v="1"/>
    <x v="31"/>
    <x v="0"/>
    <n v="2"/>
    <n v="30"/>
    <x v="17"/>
    <x v="1"/>
  </r>
  <r>
    <x v="448"/>
    <d v="2023-07-03T00:00:00"/>
    <x v="448"/>
    <x v="0"/>
    <x v="36"/>
    <x v="2"/>
    <n v="4"/>
    <n v="50"/>
    <x v="7"/>
    <x v="4"/>
  </r>
  <r>
    <x v="449"/>
    <d v="2023-04-18T00:00:00"/>
    <x v="449"/>
    <x v="1"/>
    <x v="42"/>
    <x v="0"/>
    <n v="2"/>
    <n v="25"/>
    <x v="5"/>
    <x v="1"/>
  </r>
  <r>
    <x v="450"/>
    <d v="2023-12-16T00:00:00"/>
    <x v="450"/>
    <x v="1"/>
    <x v="5"/>
    <x v="2"/>
    <n v="1"/>
    <n v="30"/>
    <x v="2"/>
    <x v="2"/>
  </r>
  <r>
    <x v="451"/>
    <d v="2023-05-08T00:00:00"/>
    <x v="451"/>
    <x v="1"/>
    <x v="27"/>
    <x v="1"/>
    <n v="3"/>
    <n v="500"/>
    <x v="9"/>
    <x v="1"/>
  </r>
  <r>
    <x v="452"/>
    <d v="2023-12-08T00:00:00"/>
    <x v="452"/>
    <x v="1"/>
    <x v="1"/>
    <x v="1"/>
    <n v="2"/>
    <n v="500"/>
    <x v="1"/>
    <x v="0"/>
  </r>
  <r>
    <x v="453"/>
    <d v="2023-02-22T00:00:00"/>
    <x v="453"/>
    <x v="1"/>
    <x v="6"/>
    <x v="0"/>
    <n v="1"/>
    <n v="25"/>
    <x v="16"/>
    <x v="1"/>
  </r>
  <r>
    <x v="454"/>
    <d v="2023-07-01T00:00:00"/>
    <x v="454"/>
    <x v="0"/>
    <x v="33"/>
    <x v="2"/>
    <n v="4"/>
    <n v="25"/>
    <x v="4"/>
    <x v="0"/>
  </r>
  <r>
    <x v="455"/>
    <d v="2023-10-14T00:00:00"/>
    <x v="455"/>
    <x v="0"/>
    <x v="35"/>
    <x v="2"/>
    <n v="2"/>
    <n v="30"/>
    <x v="17"/>
    <x v="1"/>
  </r>
  <r>
    <x v="456"/>
    <d v="2023-07-28T00:00:00"/>
    <x v="456"/>
    <x v="1"/>
    <x v="26"/>
    <x v="0"/>
    <n v="3"/>
    <n v="300"/>
    <x v="12"/>
    <x v="1"/>
  </r>
  <r>
    <x v="457"/>
    <d v="2023-11-14T00:00:00"/>
    <x v="457"/>
    <x v="1"/>
    <x v="23"/>
    <x v="2"/>
    <n v="4"/>
    <n v="25"/>
    <x v="4"/>
    <x v="2"/>
  </r>
  <r>
    <x v="458"/>
    <d v="2023-03-21T00:00:00"/>
    <x v="458"/>
    <x v="0"/>
    <x v="20"/>
    <x v="1"/>
    <n v="4"/>
    <n v="300"/>
    <x v="14"/>
    <x v="0"/>
  </r>
  <r>
    <x v="459"/>
    <d v="2023-05-02T00:00:00"/>
    <x v="459"/>
    <x v="0"/>
    <x v="30"/>
    <x v="0"/>
    <n v="1"/>
    <n v="50"/>
    <x v="5"/>
    <x v="2"/>
  </r>
  <r>
    <x v="460"/>
    <d v="2023-03-25T00:00:00"/>
    <x v="460"/>
    <x v="1"/>
    <x v="18"/>
    <x v="0"/>
    <n v="2"/>
    <n v="500"/>
    <x v="1"/>
    <x v="4"/>
  </r>
  <r>
    <x v="461"/>
    <d v="2023-04-01T00:00:00"/>
    <x v="461"/>
    <x v="0"/>
    <x v="7"/>
    <x v="2"/>
    <n v="4"/>
    <n v="300"/>
    <x v="14"/>
    <x v="3"/>
  </r>
  <r>
    <x v="462"/>
    <d v="2023-07-31T00:00:00"/>
    <x v="462"/>
    <x v="1"/>
    <x v="31"/>
    <x v="0"/>
    <n v="3"/>
    <n v="500"/>
    <x v="9"/>
    <x v="1"/>
  </r>
  <r>
    <x v="463"/>
    <d v="2023-01-13T00:00:00"/>
    <x v="463"/>
    <x v="0"/>
    <x v="21"/>
    <x v="2"/>
    <n v="2"/>
    <n v="300"/>
    <x v="6"/>
    <x v="2"/>
  </r>
  <r>
    <x v="464"/>
    <d v="2023-04-02T00:00:00"/>
    <x v="464"/>
    <x v="1"/>
    <x v="22"/>
    <x v="2"/>
    <n v="3"/>
    <n v="50"/>
    <x v="0"/>
    <x v="2"/>
  </r>
  <r>
    <x v="465"/>
    <d v="2023-06-20T00:00:00"/>
    <x v="465"/>
    <x v="0"/>
    <x v="7"/>
    <x v="2"/>
    <n v="4"/>
    <n v="25"/>
    <x v="4"/>
    <x v="3"/>
  </r>
  <r>
    <x v="466"/>
    <d v="2023-07-30T00:00:00"/>
    <x v="466"/>
    <x v="1"/>
    <x v="45"/>
    <x v="2"/>
    <n v="3"/>
    <n v="50"/>
    <x v="0"/>
    <x v="1"/>
  </r>
  <r>
    <x v="467"/>
    <d v="2023-12-09T00:00:00"/>
    <x v="467"/>
    <x v="0"/>
    <x v="30"/>
    <x v="2"/>
    <n v="1"/>
    <n v="25"/>
    <x v="16"/>
    <x v="2"/>
  </r>
  <r>
    <x v="468"/>
    <d v="2023-05-08T00:00:00"/>
    <x v="468"/>
    <x v="0"/>
    <x v="18"/>
    <x v="0"/>
    <n v="3"/>
    <n v="25"/>
    <x v="8"/>
    <x v="4"/>
  </r>
  <r>
    <x v="469"/>
    <d v="2023-05-17T00:00:00"/>
    <x v="469"/>
    <x v="1"/>
    <x v="35"/>
    <x v="1"/>
    <n v="2"/>
    <n v="500"/>
    <x v="1"/>
    <x v="1"/>
  </r>
  <r>
    <x v="470"/>
    <d v="2023-03-23T00:00:00"/>
    <x v="470"/>
    <x v="0"/>
    <x v="40"/>
    <x v="1"/>
    <n v="3"/>
    <n v="50"/>
    <x v="0"/>
    <x v="0"/>
  </r>
  <r>
    <x v="471"/>
    <d v="2023-12-26T00:00:00"/>
    <x v="471"/>
    <x v="1"/>
    <x v="21"/>
    <x v="0"/>
    <n v="3"/>
    <n v="300"/>
    <x v="12"/>
    <x v="2"/>
  </r>
  <r>
    <x v="472"/>
    <d v="2023-02-25T00:00:00"/>
    <x v="472"/>
    <x v="0"/>
    <x v="12"/>
    <x v="0"/>
    <n v="1"/>
    <n v="50"/>
    <x v="5"/>
    <x v="3"/>
  </r>
  <r>
    <x v="473"/>
    <d v="2023-07-15T00:00:00"/>
    <x v="473"/>
    <x v="1"/>
    <x v="1"/>
    <x v="1"/>
    <n v="3"/>
    <n v="500"/>
    <x v="9"/>
    <x v="0"/>
  </r>
  <r>
    <x v="474"/>
    <d v="2023-01-20T00:00:00"/>
    <x v="474"/>
    <x v="0"/>
    <x v="1"/>
    <x v="1"/>
    <n v="3"/>
    <n v="25"/>
    <x v="8"/>
    <x v="0"/>
  </r>
  <r>
    <x v="475"/>
    <d v="2023-08-29T00:00:00"/>
    <x v="475"/>
    <x v="1"/>
    <x v="15"/>
    <x v="1"/>
    <n v="4"/>
    <n v="500"/>
    <x v="11"/>
    <x v="0"/>
  </r>
  <r>
    <x v="476"/>
    <d v="2023-04-24T00:00:00"/>
    <x v="476"/>
    <x v="0"/>
    <x v="22"/>
    <x v="1"/>
    <n v="4"/>
    <n v="30"/>
    <x v="10"/>
    <x v="2"/>
  </r>
  <r>
    <x v="477"/>
    <d v="2023-04-13T00:00:00"/>
    <x v="477"/>
    <x v="1"/>
    <x v="26"/>
    <x v="1"/>
    <n v="2"/>
    <n v="30"/>
    <x v="17"/>
    <x v="1"/>
  </r>
  <r>
    <x v="478"/>
    <d v="2023-08-24T00:00:00"/>
    <x v="478"/>
    <x v="0"/>
    <x v="8"/>
    <x v="2"/>
    <n v="4"/>
    <n v="300"/>
    <x v="14"/>
    <x v="1"/>
  </r>
  <r>
    <x v="479"/>
    <d v="2023-06-29T00:00:00"/>
    <x v="479"/>
    <x v="1"/>
    <x v="13"/>
    <x v="0"/>
    <n v="4"/>
    <n v="500"/>
    <x v="11"/>
    <x v="2"/>
  </r>
  <r>
    <x v="480"/>
    <d v="2023-06-06T00:00:00"/>
    <x v="480"/>
    <x v="1"/>
    <x v="22"/>
    <x v="2"/>
    <n v="4"/>
    <n v="300"/>
    <x v="14"/>
    <x v="2"/>
  </r>
  <r>
    <x v="481"/>
    <d v="2023-04-27T00:00:00"/>
    <x v="481"/>
    <x v="1"/>
    <x v="20"/>
    <x v="1"/>
    <n v="4"/>
    <n v="300"/>
    <x v="14"/>
    <x v="0"/>
  </r>
  <r>
    <x v="482"/>
    <d v="2023-04-25T00:00:00"/>
    <x v="482"/>
    <x v="0"/>
    <x v="28"/>
    <x v="1"/>
    <n v="1"/>
    <n v="30"/>
    <x v="2"/>
    <x v="1"/>
  </r>
  <r>
    <x v="483"/>
    <d v="2023-01-13T00:00:00"/>
    <x v="483"/>
    <x v="1"/>
    <x v="14"/>
    <x v="1"/>
    <n v="4"/>
    <n v="300"/>
    <x v="14"/>
    <x v="4"/>
  </r>
  <r>
    <x v="484"/>
    <d v="2023-12-04T00:00:00"/>
    <x v="484"/>
    <x v="0"/>
    <x v="46"/>
    <x v="2"/>
    <n v="1"/>
    <n v="30"/>
    <x v="2"/>
    <x v="4"/>
  </r>
  <r>
    <x v="485"/>
    <d v="2023-04-09T00:00:00"/>
    <x v="485"/>
    <x v="1"/>
    <x v="10"/>
    <x v="2"/>
    <n v="1"/>
    <n v="25"/>
    <x v="16"/>
    <x v="0"/>
  </r>
  <r>
    <x v="486"/>
    <d v="2023-07-24T00:00:00"/>
    <x v="486"/>
    <x v="0"/>
    <x v="24"/>
    <x v="1"/>
    <n v="4"/>
    <n v="500"/>
    <x v="11"/>
    <x v="2"/>
  </r>
  <r>
    <x v="487"/>
    <d v="2023-06-18T00:00:00"/>
    <x v="487"/>
    <x v="1"/>
    <x v="25"/>
    <x v="2"/>
    <n v="3"/>
    <n v="300"/>
    <x v="12"/>
    <x v="1"/>
  </r>
  <r>
    <x v="488"/>
    <d v="2023-05-23T00:00:00"/>
    <x v="488"/>
    <x v="0"/>
    <x v="24"/>
    <x v="2"/>
    <n v="1"/>
    <n v="30"/>
    <x v="2"/>
    <x v="2"/>
  </r>
  <r>
    <x v="489"/>
    <d v="2023-02-05T00:00:00"/>
    <x v="489"/>
    <x v="0"/>
    <x v="0"/>
    <x v="1"/>
    <n v="3"/>
    <n v="50"/>
    <x v="0"/>
    <x v="0"/>
  </r>
  <r>
    <x v="490"/>
    <d v="2023-05-23T00:00:00"/>
    <x v="490"/>
    <x v="1"/>
    <x v="43"/>
    <x v="2"/>
    <n v="3"/>
    <n v="300"/>
    <x v="12"/>
    <x v="1"/>
  </r>
  <r>
    <x v="491"/>
    <d v="2023-06-29T00:00:00"/>
    <x v="491"/>
    <x v="0"/>
    <x v="39"/>
    <x v="0"/>
    <n v="4"/>
    <n v="25"/>
    <x v="4"/>
    <x v="3"/>
  </r>
  <r>
    <x v="492"/>
    <d v="2023-11-25T00:00:00"/>
    <x v="492"/>
    <x v="0"/>
    <x v="41"/>
    <x v="0"/>
    <n v="2"/>
    <n v="25"/>
    <x v="5"/>
    <x v="2"/>
  </r>
  <r>
    <x v="493"/>
    <d v="2023-09-18T00:00:00"/>
    <x v="493"/>
    <x v="1"/>
    <x v="13"/>
    <x v="0"/>
    <n v="4"/>
    <n v="50"/>
    <x v="7"/>
    <x v="2"/>
  </r>
  <r>
    <x v="494"/>
    <d v="2023-07-24T00:00:00"/>
    <x v="494"/>
    <x v="0"/>
    <x v="46"/>
    <x v="0"/>
    <n v="2"/>
    <n v="30"/>
    <x v="17"/>
    <x v="4"/>
  </r>
  <r>
    <x v="495"/>
    <d v="2023-12-14T00:00:00"/>
    <x v="495"/>
    <x v="0"/>
    <x v="9"/>
    <x v="1"/>
    <n v="2"/>
    <n v="300"/>
    <x v="6"/>
    <x v="4"/>
  </r>
  <r>
    <x v="496"/>
    <d v="2023-10-02T00:00:00"/>
    <x v="496"/>
    <x v="0"/>
    <x v="41"/>
    <x v="1"/>
    <n v="4"/>
    <n v="30"/>
    <x v="10"/>
    <x v="2"/>
  </r>
  <r>
    <x v="497"/>
    <d v="2023-06-19T00:00:00"/>
    <x v="497"/>
    <x v="1"/>
    <x v="2"/>
    <x v="1"/>
    <n v="4"/>
    <n v="25"/>
    <x v="4"/>
    <x v="1"/>
  </r>
  <r>
    <x v="498"/>
    <d v="2023-01-15T00:00:00"/>
    <x v="498"/>
    <x v="0"/>
    <x v="6"/>
    <x v="0"/>
    <n v="2"/>
    <n v="30"/>
    <x v="17"/>
    <x v="1"/>
  </r>
  <r>
    <x v="499"/>
    <d v="2023-03-01T00:00:00"/>
    <x v="499"/>
    <x v="1"/>
    <x v="43"/>
    <x v="0"/>
    <n v="4"/>
    <n v="25"/>
    <x v="4"/>
    <x v="1"/>
  </r>
  <r>
    <x v="500"/>
    <d v="2023-05-14T00:00:00"/>
    <x v="500"/>
    <x v="0"/>
    <x v="23"/>
    <x v="2"/>
    <n v="2"/>
    <n v="30"/>
    <x v="17"/>
    <x v="2"/>
  </r>
  <r>
    <x v="501"/>
    <d v="2023-04-02T00:00:00"/>
    <x v="501"/>
    <x v="0"/>
    <x v="22"/>
    <x v="2"/>
    <n v="3"/>
    <n v="50"/>
    <x v="0"/>
    <x v="2"/>
  </r>
  <r>
    <x v="502"/>
    <d v="2023-10-25T00:00:00"/>
    <x v="502"/>
    <x v="0"/>
    <x v="5"/>
    <x v="0"/>
    <n v="4"/>
    <n v="500"/>
    <x v="11"/>
    <x v="2"/>
  </r>
  <r>
    <x v="503"/>
    <d v="2023-05-16T00:00:00"/>
    <x v="503"/>
    <x v="1"/>
    <x v="21"/>
    <x v="0"/>
    <n v="3"/>
    <n v="50"/>
    <x v="0"/>
    <x v="2"/>
  </r>
  <r>
    <x v="504"/>
    <d v="2023-01-20T00:00:00"/>
    <x v="504"/>
    <x v="0"/>
    <x v="46"/>
    <x v="0"/>
    <n v="1"/>
    <n v="50"/>
    <x v="5"/>
    <x v="4"/>
  </r>
  <r>
    <x v="505"/>
    <d v="2023-02-25T00:00:00"/>
    <x v="505"/>
    <x v="0"/>
    <x v="0"/>
    <x v="0"/>
    <n v="3"/>
    <n v="500"/>
    <x v="9"/>
    <x v="0"/>
  </r>
  <r>
    <x v="506"/>
    <d v="2023-11-02T00:00:00"/>
    <x v="506"/>
    <x v="1"/>
    <x v="3"/>
    <x v="2"/>
    <n v="3"/>
    <n v="500"/>
    <x v="9"/>
    <x v="2"/>
  </r>
  <r>
    <x v="507"/>
    <d v="2023-08-11T00:00:00"/>
    <x v="507"/>
    <x v="0"/>
    <x v="26"/>
    <x v="0"/>
    <n v="2"/>
    <n v="300"/>
    <x v="6"/>
    <x v="1"/>
  </r>
  <r>
    <x v="508"/>
    <d v="2023-06-26T00:00:00"/>
    <x v="508"/>
    <x v="1"/>
    <x v="3"/>
    <x v="2"/>
    <n v="3"/>
    <n v="300"/>
    <x v="12"/>
    <x v="2"/>
  </r>
  <r>
    <x v="509"/>
    <d v="2023-06-10T00:00:00"/>
    <x v="509"/>
    <x v="1"/>
    <x v="23"/>
    <x v="0"/>
    <n v="4"/>
    <n v="50"/>
    <x v="7"/>
    <x v="2"/>
  </r>
  <r>
    <x v="510"/>
    <d v="2023-08-12T00:00:00"/>
    <x v="510"/>
    <x v="0"/>
    <x v="5"/>
    <x v="0"/>
    <n v="2"/>
    <n v="50"/>
    <x v="4"/>
    <x v="2"/>
  </r>
  <r>
    <x v="511"/>
    <d v="2023-11-07T00:00:00"/>
    <x v="511"/>
    <x v="1"/>
    <x v="35"/>
    <x v="0"/>
    <n v="1"/>
    <n v="25"/>
    <x v="16"/>
    <x v="1"/>
  </r>
  <r>
    <x v="512"/>
    <d v="2023-09-19T00:00:00"/>
    <x v="512"/>
    <x v="0"/>
    <x v="46"/>
    <x v="2"/>
    <n v="4"/>
    <n v="25"/>
    <x v="4"/>
    <x v="4"/>
  </r>
  <r>
    <x v="513"/>
    <d v="2023-03-01T00:00:00"/>
    <x v="513"/>
    <x v="1"/>
    <x v="18"/>
    <x v="2"/>
    <n v="1"/>
    <n v="300"/>
    <x v="13"/>
    <x v="4"/>
  </r>
  <r>
    <x v="514"/>
    <d v="2023-07-17T00:00:00"/>
    <x v="514"/>
    <x v="1"/>
    <x v="19"/>
    <x v="1"/>
    <n v="3"/>
    <n v="300"/>
    <x v="12"/>
    <x v="1"/>
  </r>
  <r>
    <x v="515"/>
    <d v="2023-10-23T00:00:00"/>
    <x v="515"/>
    <x v="0"/>
    <x v="4"/>
    <x v="0"/>
    <n v="4"/>
    <n v="25"/>
    <x v="4"/>
    <x v="0"/>
  </r>
  <r>
    <x v="516"/>
    <d v="2023-04-08T00:00:00"/>
    <x v="516"/>
    <x v="1"/>
    <x v="16"/>
    <x v="1"/>
    <n v="4"/>
    <n v="25"/>
    <x v="4"/>
    <x v="1"/>
  </r>
  <r>
    <x v="517"/>
    <d v="2023-05-11T00:00:00"/>
    <x v="517"/>
    <x v="1"/>
    <x v="30"/>
    <x v="1"/>
    <n v="1"/>
    <n v="30"/>
    <x v="2"/>
    <x v="2"/>
  </r>
  <r>
    <x v="518"/>
    <d v="2023-01-23T00:00:00"/>
    <x v="518"/>
    <x v="1"/>
    <x v="32"/>
    <x v="2"/>
    <n v="4"/>
    <n v="30"/>
    <x v="10"/>
    <x v="2"/>
  </r>
  <r>
    <x v="519"/>
    <d v="2023-12-29T00:00:00"/>
    <x v="519"/>
    <x v="1"/>
    <x v="19"/>
    <x v="2"/>
    <n v="4"/>
    <n v="25"/>
    <x v="4"/>
    <x v="1"/>
  </r>
  <r>
    <x v="520"/>
    <d v="2023-08-12T00:00:00"/>
    <x v="520"/>
    <x v="1"/>
    <x v="16"/>
    <x v="1"/>
    <n v="4"/>
    <n v="30"/>
    <x v="10"/>
    <x v="1"/>
  </r>
  <r>
    <x v="521"/>
    <d v="2023-01-01T00:00:00"/>
    <x v="521"/>
    <x v="0"/>
    <x v="6"/>
    <x v="0"/>
    <n v="3"/>
    <n v="500"/>
    <x v="9"/>
    <x v="1"/>
  </r>
  <r>
    <x v="522"/>
    <d v="2023-09-24T00:00:00"/>
    <x v="522"/>
    <x v="1"/>
    <x v="17"/>
    <x v="2"/>
    <n v="1"/>
    <n v="300"/>
    <x v="13"/>
    <x v="3"/>
  </r>
  <r>
    <x v="523"/>
    <d v="2023-10-03T00:00:00"/>
    <x v="523"/>
    <x v="0"/>
    <x v="6"/>
    <x v="0"/>
    <n v="4"/>
    <n v="300"/>
    <x v="14"/>
    <x v="1"/>
  </r>
  <r>
    <x v="524"/>
    <d v="2023-12-18T00:00:00"/>
    <x v="524"/>
    <x v="1"/>
    <x v="16"/>
    <x v="0"/>
    <n v="2"/>
    <n v="25"/>
    <x v="5"/>
    <x v="1"/>
  </r>
  <r>
    <x v="525"/>
    <d v="2023-12-10T00:00:00"/>
    <x v="525"/>
    <x v="0"/>
    <x v="44"/>
    <x v="1"/>
    <n v="2"/>
    <n v="50"/>
    <x v="4"/>
    <x v="0"/>
  </r>
  <r>
    <x v="526"/>
    <d v="2023-04-11T00:00:00"/>
    <x v="526"/>
    <x v="0"/>
    <x v="35"/>
    <x v="1"/>
    <n v="2"/>
    <n v="25"/>
    <x v="5"/>
    <x v="1"/>
  </r>
  <r>
    <x v="527"/>
    <d v="2023-07-06T00:00:00"/>
    <x v="527"/>
    <x v="1"/>
    <x v="32"/>
    <x v="1"/>
    <n v="2"/>
    <n v="30"/>
    <x v="17"/>
    <x v="2"/>
  </r>
  <r>
    <x v="528"/>
    <d v="2023-08-09T00:00:00"/>
    <x v="528"/>
    <x v="1"/>
    <x v="10"/>
    <x v="1"/>
    <n v="3"/>
    <n v="50"/>
    <x v="0"/>
    <x v="0"/>
  </r>
  <r>
    <x v="529"/>
    <d v="2023-02-05T00:00:00"/>
    <x v="529"/>
    <x v="1"/>
    <x v="18"/>
    <x v="2"/>
    <n v="4"/>
    <n v="30"/>
    <x v="10"/>
    <x v="4"/>
  </r>
  <r>
    <x v="530"/>
    <d v="2023-12-07T00:00:00"/>
    <x v="530"/>
    <x v="0"/>
    <x v="33"/>
    <x v="2"/>
    <n v="1"/>
    <n v="500"/>
    <x v="3"/>
    <x v="0"/>
  </r>
  <r>
    <x v="531"/>
    <d v="2023-06-19T00:00:00"/>
    <x v="531"/>
    <x v="1"/>
    <x v="12"/>
    <x v="1"/>
    <n v="4"/>
    <n v="30"/>
    <x v="10"/>
    <x v="3"/>
  </r>
  <r>
    <x v="532"/>
    <d v="2023-11-16T00:00:00"/>
    <x v="532"/>
    <x v="0"/>
    <x v="14"/>
    <x v="2"/>
    <n v="3"/>
    <n v="500"/>
    <x v="9"/>
    <x v="4"/>
  </r>
  <r>
    <x v="533"/>
    <d v="2023-06-10T00:00:00"/>
    <x v="533"/>
    <x v="0"/>
    <x v="5"/>
    <x v="1"/>
    <n v="2"/>
    <n v="500"/>
    <x v="1"/>
    <x v="2"/>
  </r>
  <r>
    <x v="534"/>
    <d v="2023-12-06T00:00:00"/>
    <x v="534"/>
    <x v="0"/>
    <x v="16"/>
    <x v="0"/>
    <n v="3"/>
    <n v="30"/>
    <x v="15"/>
    <x v="1"/>
  </r>
  <r>
    <x v="535"/>
    <d v="2023-03-05T00:00:00"/>
    <x v="535"/>
    <x v="1"/>
    <x v="28"/>
    <x v="0"/>
    <n v="4"/>
    <n v="30"/>
    <x v="10"/>
    <x v="1"/>
  </r>
  <r>
    <x v="536"/>
    <d v="2023-06-03T00:00:00"/>
    <x v="536"/>
    <x v="1"/>
    <x v="34"/>
    <x v="0"/>
    <n v="1"/>
    <n v="500"/>
    <x v="3"/>
    <x v="4"/>
  </r>
  <r>
    <x v="537"/>
    <d v="2023-09-17T00:00:00"/>
    <x v="537"/>
    <x v="0"/>
    <x v="18"/>
    <x v="1"/>
    <n v="3"/>
    <n v="50"/>
    <x v="0"/>
    <x v="4"/>
  </r>
  <r>
    <x v="538"/>
    <d v="2023-06-08T00:00:00"/>
    <x v="538"/>
    <x v="0"/>
    <x v="36"/>
    <x v="0"/>
    <n v="1"/>
    <n v="500"/>
    <x v="3"/>
    <x v="4"/>
  </r>
  <r>
    <x v="539"/>
    <d v="2023-12-08T00:00:00"/>
    <x v="539"/>
    <x v="1"/>
    <x v="6"/>
    <x v="2"/>
    <n v="3"/>
    <n v="300"/>
    <x v="12"/>
    <x v="1"/>
  </r>
  <r>
    <x v="540"/>
    <d v="2023-07-29T00:00:00"/>
    <x v="540"/>
    <x v="0"/>
    <x v="37"/>
    <x v="0"/>
    <n v="1"/>
    <n v="500"/>
    <x v="3"/>
    <x v="1"/>
  </r>
  <r>
    <x v="541"/>
    <d v="2023-06-17T00:00:00"/>
    <x v="541"/>
    <x v="1"/>
    <x v="29"/>
    <x v="0"/>
    <n v="1"/>
    <n v="50"/>
    <x v="5"/>
    <x v="4"/>
  </r>
  <r>
    <x v="542"/>
    <d v="2023-07-26T00:00:00"/>
    <x v="542"/>
    <x v="0"/>
    <x v="19"/>
    <x v="0"/>
    <n v="2"/>
    <n v="300"/>
    <x v="6"/>
    <x v="1"/>
  </r>
  <r>
    <x v="543"/>
    <d v="2023-12-23T00:00:00"/>
    <x v="543"/>
    <x v="1"/>
    <x v="15"/>
    <x v="2"/>
    <n v="1"/>
    <n v="25"/>
    <x v="16"/>
    <x v="0"/>
  </r>
  <r>
    <x v="544"/>
    <d v="2023-06-01T00:00:00"/>
    <x v="544"/>
    <x v="0"/>
    <x v="15"/>
    <x v="1"/>
    <n v="2"/>
    <n v="25"/>
    <x v="5"/>
    <x v="0"/>
  </r>
  <r>
    <x v="545"/>
    <d v="2023-10-11T00:00:00"/>
    <x v="545"/>
    <x v="1"/>
    <x v="32"/>
    <x v="2"/>
    <n v="4"/>
    <n v="50"/>
    <x v="7"/>
    <x v="2"/>
  </r>
  <r>
    <x v="546"/>
    <d v="2023-03-07T00:00:00"/>
    <x v="546"/>
    <x v="0"/>
    <x v="7"/>
    <x v="1"/>
    <n v="4"/>
    <n v="500"/>
    <x v="11"/>
    <x v="3"/>
  </r>
  <r>
    <x v="547"/>
    <d v="2023-04-09T00:00:00"/>
    <x v="547"/>
    <x v="1"/>
    <x v="25"/>
    <x v="1"/>
    <n v="2"/>
    <n v="30"/>
    <x v="17"/>
    <x v="1"/>
  </r>
  <r>
    <x v="548"/>
    <d v="2023-08-04T00:00:00"/>
    <x v="548"/>
    <x v="1"/>
    <x v="2"/>
    <x v="0"/>
    <n v="2"/>
    <n v="50"/>
    <x v="4"/>
    <x v="1"/>
  </r>
  <r>
    <x v="549"/>
    <d v="2023-12-07T00:00:00"/>
    <x v="549"/>
    <x v="0"/>
    <x v="30"/>
    <x v="1"/>
    <n v="3"/>
    <n v="300"/>
    <x v="12"/>
    <x v="2"/>
  </r>
  <r>
    <x v="550"/>
    <d v="2023-07-14T00:00:00"/>
    <x v="550"/>
    <x v="0"/>
    <x v="5"/>
    <x v="2"/>
    <n v="3"/>
    <n v="300"/>
    <x v="12"/>
    <x v="2"/>
  </r>
  <r>
    <x v="551"/>
    <d v="2023-12-13T00:00:00"/>
    <x v="551"/>
    <x v="1"/>
    <x v="19"/>
    <x v="2"/>
    <n v="3"/>
    <n v="25"/>
    <x v="8"/>
    <x v="1"/>
  </r>
  <r>
    <x v="552"/>
    <d v="2023-03-31T00:00:00"/>
    <x v="552"/>
    <x v="0"/>
    <x v="46"/>
    <x v="1"/>
    <n v="4"/>
    <n v="300"/>
    <x v="14"/>
    <x v="4"/>
  </r>
  <r>
    <x v="553"/>
    <d v="2023-11-12T00:00:00"/>
    <x v="553"/>
    <x v="1"/>
    <x v="6"/>
    <x v="0"/>
    <n v="3"/>
    <n v="50"/>
    <x v="0"/>
    <x v="1"/>
  </r>
  <r>
    <x v="554"/>
    <d v="2023-10-19T00:00:00"/>
    <x v="554"/>
    <x v="0"/>
    <x v="36"/>
    <x v="0"/>
    <n v="1"/>
    <n v="300"/>
    <x v="13"/>
    <x v="4"/>
  </r>
  <r>
    <x v="555"/>
    <d v="2023-06-04T00:00:00"/>
    <x v="555"/>
    <x v="1"/>
    <x v="18"/>
    <x v="2"/>
    <n v="1"/>
    <n v="50"/>
    <x v="5"/>
    <x v="4"/>
  </r>
  <r>
    <x v="556"/>
    <d v="2023-07-27T00:00:00"/>
    <x v="556"/>
    <x v="1"/>
    <x v="29"/>
    <x v="0"/>
    <n v="3"/>
    <n v="30"/>
    <x v="15"/>
    <x v="4"/>
  </r>
  <r>
    <x v="557"/>
    <d v="2023-10-08T00:00:00"/>
    <x v="557"/>
    <x v="1"/>
    <x v="41"/>
    <x v="1"/>
    <n v="1"/>
    <n v="25"/>
    <x v="16"/>
    <x v="2"/>
  </r>
  <r>
    <x v="558"/>
    <d v="2023-01-01T00:00:00"/>
    <x v="558"/>
    <x v="1"/>
    <x v="30"/>
    <x v="1"/>
    <n v="4"/>
    <n v="300"/>
    <x v="14"/>
    <x v="2"/>
  </r>
  <r>
    <x v="559"/>
    <d v="2023-06-05T00:00:00"/>
    <x v="559"/>
    <x v="1"/>
    <x v="36"/>
    <x v="2"/>
    <n v="1"/>
    <n v="50"/>
    <x v="5"/>
    <x v="4"/>
  </r>
  <r>
    <x v="560"/>
    <d v="2023-05-27T00:00:00"/>
    <x v="560"/>
    <x v="1"/>
    <x v="12"/>
    <x v="1"/>
    <n v="4"/>
    <n v="500"/>
    <x v="11"/>
    <x v="3"/>
  </r>
  <r>
    <x v="561"/>
    <d v="2023-04-18T00:00:00"/>
    <x v="561"/>
    <x v="0"/>
    <x v="31"/>
    <x v="2"/>
    <n v="2"/>
    <n v="25"/>
    <x v="5"/>
    <x v="1"/>
  </r>
  <r>
    <x v="562"/>
    <d v="2023-08-09T00:00:00"/>
    <x v="562"/>
    <x v="0"/>
    <x v="29"/>
    <x v="1"/>
    <n v="2"/>
    <n v="30"/>
    <x v="17"/>
    <x v="4"/>
  </r>
  <r>
    <x v="563"/>
    <d v="2023-10-24T00:00:00"/>
    <x v="563"/>
    <x v="0"/>
    <x v="2"/>
    <x v="2"/>
    <n v="2"/>
    <n v="50"/>
    <x v="4"/>
    <x v="1"/>
  </r>
  <r>
    <x v="564"/>
    <d v="2023-11-07T00:00:00"/>
    <x v="564"/>
    <x v="1"/>
    <x v="5"/>
    <x v="0"/>
    <n v="2"/>
    <n v="30"/>
    <x v="17"/>
    <x v="2"/>
  </r>
  <r>
    <x v="565"/>
    <d v="2023-12-02T00:00:00"/>
    <x v="565"/>
    <x v="1"/>
    <x v="12"/>
    <x v="1"/>
    <n v="1"/>
    <n v="30"/>
    <x v="2"/>
    <x v="3"/>
  </r>
  <r>
    <x v="566"/>
    <d v="2023-06-14T00:00:00"/>
    <x v="566"/>
    <x v="1"/>
    <x v="36"/>
    <x v="1"/>
    <n v="3"/>
    <n v="300"/>
    <x v="12"/>
    <x v="4"/>
  </r>
  <r>
    <x v="567"/>
    <d v="2023-08-27T00:00:00"/>
    <x v="567"/>
    <x v="1"/>
    <x v="25"/>
    <x v="2"/>
    <n v="1"/>
    <n v="300"/>
    <x v="13"/>
    <x v="1"/>
  </r>
  <r>
    <x v="568"/>
    <d v="2023-08-15T00:00:00"/>
    <x v="568"/>
    <x v="0"/>
    <x v="8"/>
    <x v="2"/>
    <n v="4"/>
    <n v="50"/>
    <x v="7"/>
    <x v="1"/>
  </r>
  <r>
    <x v="569"/>
    <d v="2023-08-15T00:00:00"/>
    <x v="569"/>
    <x v="0"/>
    <x v="19"/>
    <x v="1"/>
    <n v="1"/>
    <n v="500"/>
    <x v="3"/>
    <x v="1"/>
  </r>
  <r>
    <x v="570"/>
    <d v="2023-12-12T00:00:00"/>
    <x v="570"/>
    <x v="1"/>
    <x v="41"/>
    <x v="2"/>
    <n v="1"/>
    <n v="50"/>
    <x v="5"/>
    <x v="2"/>
  </r>
  <r>
    <x v="571"/>
    <d v="2023-04-20T00:00:00"/>
    <x v="571"/>
    <x v="0"/>
    <x v="33"/>
    <x v="1"/>
    <n v="4"/>
    <n v="500"/>
    <x v="11"/>
    <x v="0"/>
  </r>
  <r>
    <x v="572"/>
    <d v="2023-09-19T00:00:00"/>
    <x v="572"/>
    <x v="0"/>
    <x v="19"/>
    <x v="0"/>
    <n v="2"/>
    <n v="30"/>
    <x v="17"/>
    <x v="1"/>
  </r>
  <r>
    <x v="573"/>
    <d v="2023-08-31T00:00:00"/>
    <x v="573"/>
    <x v="1"/>
    <x v="7"/>
    <x v="2"/>
    <n v="2"/>
    <n v="25"/>
    <x v="5"/>
    <x v="3"/>
  </r>
  <r>
    <x v="574"/>
    <d v="2023-03-28T00:00:00"/>
    <x v="574"/>
    <x v="0"/>
    <x v="43"/>
    <x v="1"/>
    <n v="2"/>
    <n v="50"/>
    <x v="4"/>
    <x v="1"/>
  </r>
  <r>
    <x v="575"/>
    <d v="2023-12-04T00:00:00"/>
    <x v="575"/>
    <x v="1"/>
    <x v="44"/>
    <x v="0"/>
    <n v="3"/>
    <n v="50"/>
    <x v="0"/>
    <x v="0"/>
  </r>
  <r>
    <x v="576"/>
    <d v="2023-02-13T00:00:00"/>
    <x v="576"/>
    <x v="0"/>
    <x v="34"/>
    <x v="0"/>
    <n v="4"/>
    <n v="500"/>
    <x v="11"/>
    <x v="4"/>
  </r>
  <r>
    <x v="577"/>
    <d v="2023-05-26T00:00:00"/>
    <x v="577"/>
    <x v="1"/>
    <x v="31"/>
    <x v="1"/>
    <n v="4"/>
    <n v="30"/>
    <x v="10"/>
    <x v="1"/>
  </r>
  <r>
    <x v="578"/>
    <d v="2023-09-21T00:00:00"/>
    <x v="578"/>
    <x v="1"/>
    <x v="21"/>
    <x v="2"/>
    <n v="1"/>
    <n v="30"/>
    <x v="2"/>
    <x v="2"/>
  </r>
  <r>
    <x v="579"/>
    <d v="2023-12-06T00:00:00"/>
    <x v="579"/>
    <x v="1"/>
    <x v="33"/>
    <x v="1"/>
    <n v="3"/>
    <n v="500"/>
    <x v="9"/>
    <x v="0"/>
  </r>
  <r>
    <x v="580"/>
    <d v="2023-11-21T00:00:00"/>
    <x v="580"/>
    <x v="1"/>
    <x v="27"/>
    <x v="0"/>
    <n v="2"/>
    <n v="30"/>
    <x v="17"/>
    <x v="1"/>
  </r>
  <r>
    <x v="581"/>
    <d v="2023-11-14T00:00:00"/>
    <x v="581"/>
    <x v="0"/>
    <x v="10"/>
    <x v="1"/>
    <n v="3"/>
    <n v="300"/>
    <x v="12"/>
    <x v="0"/>
  </r>
  <r>
    <x v="582"/>
    <d v="2023-06-21T00:00:00"/>
    <x v="582"/>
    <x v="1"/>
    <x v="46"/>
    <x v="2"/>
    <n v="4"/>
    <n v="25"/>
    <x v="4"/>
    <x v="4"/>
  </r>
  <r>
    <x v="583"/>
    <d v="2023-02-17T00:00:00"/>
    <x v="583"/>
    <x v="1"/>
    <x v="15"/>
    <x v="0"/>
    <n v="4"/>
    <n v="50"/>
    <x v="7"/>
    <x v="0"/>
  </r>
  <r>
    <x v="584"/>
    <d v="2023-05-01T00:00:00"/>
    <x v="584"/>
    <x v="1"/>
    <x v="46"/>
    <x v="1"/>
    <n v="1"/>
    <n v="25"/>
    <x v="16"/>
    <x v="4"/>
  </r>
  <r>
    <x v="585"/>
    <d v="2023-12-11T00:00:00"/>
    <x v="585"/>
    <x v="0"/>
    <x v="2"/>
    <x v="2"/>
    <n v="1"/>
    <n v="50"/>
    <x v="5"/>
    <x v="1"/>
  </r>
  <r>
    <x v="586"/>
    <d v="2023-06-08T00:00:00"/>
    <x v="586"/>
    <x v="1"/>
    <x v="30"/>
    <x v="0"/>
    <n v="4"/>
    <n v="300"/>
    <x v="14"/>
    <x v="2"/>
  </r>
  <r>
    <x v="587"/>
    <d v="2023-04-26T00:00:00"/>
    <x v="587"/>
    <x v="0"/>
    <x v="21"/>
    <x v="2"/>
    <n v="2"/>
    <n v="30"/>
    <x v="17"/>
    <x v="2"/>
  </r>
  <r>
    <x v="588"/>
    <d v="2023-04-12T00:00:00"/>
    <x v="588"/>
    <x v="1"/>
    <x v="32"/>
    <x v="0"/>
    <n v="2"/>
    <n v="500"/>
    <x v="1"/>
    <x v="2"/>
  </r>
  <r>
    <x v="589"/>
    <d v="2023-03-17T00:00:00"/>
    <x v="589"/>
    <x v="0"/>
    <x v="32"/>
    <x v="1"/>
    <n v="3"/>
    <n v="300"/>
    <x v="12"/>
    <x v="2"/>
  </r>
  <r>
    <x v="590"/>
    <d v="2023-01-13T00:00:00"/>
    <x v="590"/>
    <x v="0"/>
    <x v="45"/>
    <x v="2"/>
    <n v="4"/>
    <n v="25"/>
    <x v="4"/>
    <x v="1"/>
  </r>
  <r>
    <x v="591"/>
    <d v="2023-01-24T00:00:00"/>
    <x v="591"/>
    <x v="1"/>
    <x v="6"/>
    <x v="0"/>
    <n v="4"/>
    <n v="500"/>
    <x v="11"/>
    <x v="1"/>
  </r>
  <r>
    <x v="592"/>
    <d v="2023-05-06T00:00:00"/>
    <x v="592"/>
    <x v="0"/>
    <x v="10"/>
    <x v="2"/>
    <n v="2"/>
    <n v="30"/>
    <x v="17"/>
    <x v="0"/>
  </r>
  <r>
    <x v="593"/>
    <d v="2023-09-01T00:00:00"/>
    <x v="593"/>
    <x v="1"/>
    <x v="14"/>
    <x v="2"/>
    <n v="2"/>
    <n v="300"/>
    <x v="6"/>
    <x v="4"/>
  </r>
  <r>
    <x v="594"/>
    <d v="2023-11-09T00:00:00"/>
    <x v="594"/>
    <x v="1"/>
    <x v="18"/>
    <x v="1"/>
    <n v="4"/>
    <n v="500"/>
    <x v="11"/>
    <x v="4"/>
  </r>
  <r>
    <x v="595"/>
    <d v="2023-02-07T00:00:00"/>
    <x v="595"/>
    <x v="1"/>
    <x v="12"/>
    <x v="2"/>
    <n v="1"/>
    <n v="300"/>
    <x v="13"/>
    <x v="3"/>
  </r>
  <r>
    <x v="596"/>
    <d v="2023-08-22T00:00:00"/>
    <x v="596"/>
    <x v="0"/>
    <x v="11"/>
    <x v="0"/>
    <n v="4"/>
    <n v="300"/>
    <x v="14"/>
    <x v="4"/>
  </r>
  <r>
    <x v="597"/>
    <d v="2023-08-01T00:00:00"/>
    <x v="597"/>
    <x v="0"/>
    <x v="3"/>
    <x v="0"/>
    <n v="4"/>
    <n v="30"/>
    <x v="10"/>
    <x v="2"/>
  </r>
  <r>
    <x v="598"/>
    <d v="2023-11-19T00:00:00"/>
    <x v="598"/>
    <x v="1"/>
    <x v="20"/>
    <x v="0"/>
    <n v="2"/>
    <n v="50"/>
    <x v="4"/>
    <x v="0"/>
  </r>
  <r>
    <x v="599"/>
    <d v="2023-10-22T00:00:00"/>
    <x v="599"/>
    <x v="1"/>
    <x v="42"/>
    <x v="0"/>
    <n v="2"/>
    <n v="500"/>
    <x v="1"/>
    <x v="1"/>
  </r>
  <r>
    <x v="600"/>
    <d v="2023-04-10T00:00:00"/>
    <x v="600"/>
    <x v="0"/>
    <x v="14"/>
    <x v="1"/>
    <n v="1"/>
    <n v="30"/>
    <x v="2"/>
    <x v="4"/>
  </r>
  <r>
    <x v="601"/>
    <d v="2023-12-23T00:00:00"/>
    <x v="601"/>
    <x v="1"/>
    <x v="29"/>
    <x v="2"/>
    <n v="1"/>
    <n v="300"/>
    <x v="13"/>
    <x v="4"/>
  </r>
  <r>
    <x v="602"/>
    <d v="2023-07-16T00:00:00"/>
    <x v="602"/>
    <x v="1"/>
    <x v="30"/>
    <x v="1"/>
    <n v="3"/>
    <n v="30"/>
    <x v="15"/>
    <x v="2"/>
  </r>
  <r>
    <x v="603"/>
    <d v="2023-09-11T00:00:00"/>
    <x v="603"/>
    <x v="1"/>
    <x v="38"/>
    <x v="2"/>
    <n v="4"/>
    <n v="50"/>
    <x v="7"/>
    <x v="0"/>
  </r>
  <r>
    <x v="604"/>
    <d v="2023-07-24T00:00:00"/>
    <x v="604"/>
    <x v="0"/>
    <x v="3"/>
    <x v="2"/>
    <n v="2"/>
    <n v="500"/>
    <x v="1"/>
    <x v="2"/>
  </r>
  <r>
    <x v="605"/>
    <d v="2023-05-05T00:00:00"/>
    <x v="605"/>
    <x v="0"/>
    <x v="11"/>
    <x v="2"/>
    <n v="1"/>
    <n v="50"/>
    <x v="5"/>
    <x v="4"/>
  </r>
  <r>
    <x v="606"/>
    <d v="2023-03-17T00:00:00"/>
    <x v="606"/>
    <x v="0"/>
    <x v="31"/>
    <x v="1"/>
    <n v="3"/>
    <n v="25"/>
    <x v="8"/>
    <x v="1"/>
  </r>
  <r>
    <x v="607"/>
    <d v="2023-12-02T00:00:00"/>
    <x v="607"/>
    <x v="1"/>
    <x v="28"/>
    <x v="2"/>
    <n v="3"/>
    <n v="500"/>
    <x v="9"/>
    <x v="1"/>
  </r>
  <r>
    <x v="608"/>
    <d v="2023-12-19T00:00:00"/>
    <x v="608"/>
    <x v="1"/>
    <x v="16"/>
    <x v="1"/>
    <n v="2"/>
    <n v="50"/>
    <x v="4"/>
    <x v="1"/>
  </r>
  <r>
    <x v="609"/>
    <d v="2023-01-03T00:00:00"/>
    <x v="609"/>
    <x v="1"/>
    <x v="1"/>
    <x v="0"/>
    <n v="2"/>
    <n v="300"/>
    <x v="6"/>
    <x v="0"/>
  </r>
  <r>
    <x v="610"/>
    <d v="2023-02-24T00:00:00"/>
    <x v="610"/>
    <x v="0"/>
    <x v="25"/>
    <x v="0"/>
    <n v="3"/>
    <n v="500"/>
    <x v="9"/>
    <x v="1"/>
  </r>
  <r>
    <x v="611"/>
    <d v="2023-08-06T00:00:00"/>
    <x v="611"/>
    <x v="1"/>
    <x v="39"/>
    <x v="2"/>
    <n v="1"/>
    <n v="500"/>
    <x v="3"/>
    <x v="3"/>
  </r>
  <r>
    <x v="612"/>
    <d v="2023-04-23T00:00:00"/>
    <x v="612"/>
    <x v="1"/>
    <x v="8"/>
    <x v="1"/>
    <n v="3"/>
    <n v="30"/>
    <x v="15"/>
    <x v="1"/>
  </r>
  <r>
    <x v="613"/>
    <d v="2023-04-01T00:00:00"/>
    <x v="613"/>
    <x v="1"/>
    <x v="23"/>
    <x v="0"/>
    <n v="4"/>
    <n v="300"/>
    <x v="14"/>
    <x v="2"/>
  </r>
  <r>
    <x v="614"/>
    <d v="2023-12-23T00:00:00"/>
    <x v="614"/>
    <x v="1"/>
    <x v="39"/>
    <x v="1"/>
    <n v="4"/>
    <n v="25"/>
    <x v="4"/>
    <x v="3"/>
  </r>
  <r>
    <x v="615"/>
    <d v="2023-09-23T00:00:00"/>
    <x v="615"/>
    <x v="0"/>
    <x v="41"/>
    <x v="1"/>
    <n v="2"/>
    <n v="50"/>
    <x v="4"/>
    <x v="2"/>
  </r>
  <r>
    <x v="616"/>
    <d v="2023-08-26T00:00:00"/>
    <x v="616"/>
    <x v="0"/>
    <x v="0"/>
    <x v="2"/>
    <n v="1"/>
    <n v="30"/>
    <x v="2"/>
    <x v="0"/>
  </r>
  <r>
    <x v="617"/>
    <d v="2023-01-26T00:00:00"/>
    <x v="617"/>
    <x v="1"/>
    <x v="15"/>
    <x v="0"/>
    <n v="1"/>
    <n v="50"/>
    <x v="5"/>
    <x v="0"/>
  </r>
  <r>
    <x v="618"/>
    <d v="2023-10-13T00:00:00"/>
    <x v="618"/>
    <x v="0"/>
    <x v="16"/>
    <x v="2"/>
    <n v="4"/>
    <n v="25"/>
    <x v="4"/>
    <x v="1"/>
  </r>
  <r>
    <x v="619"/>
    <d v="2023-05-08T00:00:00"/>
    <x v="619"/>
    <x v="0"/>
    <x v="7"/>
    <x v="2"/>
    <n v="3"/>
    <n v="25"/>
    <x v="8"/>
    <x v="3"/>
  </r>
  <r>
    <x v="620"/>
    <d v="2023-03-04T00:00:00"/>
    <x v="620"/>
    <x v="1"/>
    <x v="30"/>
    <x v="0"/>
    <n v="2"/>
    <n v="500"/>
    <x v="1"/>
    <x v="2"/>
  </r>
  <r>
    <x v="621"/>
    <d v="2023-08-22T00:00:00"/>
    <x v="621"/>
    <x v="1"/>
    <x v="19"/>
    <x v="0"/>
    <n v="3"/>
    <n v="25"/>
    <x v="8"/>
    <x v="1"/>
  </r>
  <r>
    <x v="622"/>
    <d v="2023-03-10T00:00:00"/>
    <x v="622"/>
    <x v="0"/>
    <x v="0"/>
    <x v="1"/>
    <n v="3"/>
    <n v="50"/>
    <x v="0"/>
    <x v="0"/>
  </r>
  <r>
    <x v="623"/>
    <d v="2023-08-26T00:00:00"/>
    <x v="623"/>
    <x v="1"/>
    <x v="0"/>
    <x v="0"/>
    <n v="3"/>
    <n v="300"/>
    <x v="12"/>
    <x v="0"/>
  </r>
  <r>
    <x v="624"/>
    <d v="2023-12-08T00:00:00"/>
    <x v="624"/>
    <x v="0"/>
    <x v="33"/>
    <x v="1"/>
    <n v="1"/>
    <n v="300"/>
    <x v="13"/>
    <x v="0"/>
  </r>
  <r>
    <x v="625"/>
    <d v="2023-09-29T00:00:00"/>
    <x v="625"/>
    <x v="1"/>
    <x v="1"/>
    <x v="1"/>
    <n v="4"/>
    <n v="500"/>
    <x v="11"/>
    <x v="0"/>
  </r>
  <r>
    <x v="626"/>
    <d v="2023-10-14T00:00:00"/>
    <x v="626"/>
    <x v="0"/>
    <x v="35"/>
    <x v="1"/>
    <n v="1"/>
    <n v="50"/>
    <x v="5"/>
    <x v="1"/>
  </r>
  <r>
    <x v="627"/>
    <d v="2023-11-01T00:00:00"/>
    <x v="627"/>
    <x v="1"/>
    <x v="14"/>
    <x v="0"/>
    <n v="4"/>
    <n v="50"/>
    <x v="7"/>
    <x v="4"/>
  </r>
  <r>
    <x v="628"/>
    <d v="2023-06-12T00:00:00"/>
    <x v="628"/>
    <x v="0"/>
    <x v="17"/>
    <x v="2"/>
    <n v="2"/>
    <n v="25"/>
    <x v="5"/>
    <x v="3"/>
  </r>
  <r>
    <x v="629"/>
    <d v="2023-08-15T00:00:00"/>
    <x v="629"/>
    <x v="0"/>
    <x v="13"/>
    <x v="1"/>
    <n v="2"/>
    <n v="50"/>
    <x v="4"/>
    <x v="2"/>
  </r>
  <r>
    <x v="630"/>
    <d v="2023-11-10T00:00:00"/>
    <x v="630"/>
    <x v="0"/>
    <x v="37"/>
    <x v="2"/>
    <n v="3"/>
    <n v="30"/>
    <x v="15"/>
    <x v="1"/>
  </r>
  <r>
    <x v="631"/>
    <d v="2023-09-16T00:00:00"/>
    <x v="631"/>
    <x v="1"/>
    <x v="1"/>
    <x v="2"/>
    <n v="4"/>
    <n v="25"/>
    <x v="4"/>
    <x v="0"/>
  </r>
  <r>
    <x v="632"/>
    <d v="2023-08-07T00:00:00"/>
    <x v="632"/>
    <x v="0"/>
    <x v="23"/>
    <x v="0"/>
    <n v="4"/>
    <n v="30"/>
    <x v="10"/>
    <x v="2"/>
  </r>
  <r>
    <x v="633"/>
    <d v="2023-10-08T00:00:00"/>
    <x v="633"/>
    <x v="0"/>
    <x v="43"/>
    <x v="2"/>
    <n v="4"/>
    <n v="500"/>
    <x v="11"/>
    <x v="1"/>
  </r>
  <r>
    <x v="634"/>
    <d v="2023-08-17T00:00:00"/>
    <x v="634"/>
    <x v="1"/>
    <x v="7"/>
    <x v="2"/>
    <n v="3"/>
    <n v="300"/>
    <x v="12"/>
    <x v="3"/>
  </r>
  <r>
    <x v="635"/>
    <d v="2023-03-23T00:00:00"/>
    <x v="635"/>
    <x v="1"/>
    <x v="34"/>
    <x v="0"/>
    <n v="3"/>
    <n v="500"/>
    <x v="9"/>
    <x v="4"/>
  </r>
  <r>
    <x v="636"/>
    <d v="2023-09-01T00:00:00"/>
    <x v="636"/>
    <x v="0"/>
    <x v="22"/>
    <x v="1"/>
    <n v="2"/>
    <n v="300"/>
    <x v="6"/>
    <x v="2"/>
  </r>
  <r>
    <x v="637"/>
    <d v="2023-08-19T00:00:00"/>
    <x v="637"/>
    <x v="0"/>
    <x v="6"/>
    <x v="2"/>
    <n v="1"/>
    <n v="500"/>
    <x v="3"/>
    <x v="1"/>
  </r>
  <r>
    <x v="638"/>
    <d v="2023-05-13T00:00:00"/>
    <x v="638"/>
    <x v="1"/>
    <x v="17"/>
    <x v="0"/>
    <n v="4"/>
    <n v="50"/>
    <x v="7"/>
    <x v="3"/>
  </r>
  <r>
    <x v="639"/>
    <d v="2023-05-07T00:00:00"/>
    <x v="639"/>
    <x v="1"/>
    <x v="25"/>
    <x v="2"/>
    <n v="4"/>
    <n v="30"/>
    <x v="10"/>
    <x v="1"/>
  </r>
  <r>
    <x v="640"/>
    <d v="2023-11-23T00:00:00"/>
    <x v="640"/>
    <x v="1"/>
    <x v="30"/>
    <x v="2"/>
    <n v="1"/>
    <n v="300"/>
    <x v="13"/>
    <x v="2"/>
  </r>
  <r>
    <x v="641"/>
    <d v="2023-05-22T00:00:00"/>
    <x v="641"/>
    <x v="1"/>
    <x v="31"/>
    <x v="1"/>
    <n v="4"/>
    <n v="25"/>
    <x v="4"/>
    <x v="1"/>
  </r>
  <r>
    <x v="642"/>
    <d v="2023-09-24T00:00:00"/>
    <x v="642"/>
    <x v="1"/>
    <x v="20"/>
    <x v="2"/>
    <n v="3"/>
    <n v="30"/>
    <x v="15"/>
    <x v="0"/>
  </r>
  <r>
    <x v="643"/>
    <d v="2023-09-06T00:00:00"/>
    <x v="643"/>
    <x v="0"/>
    <x v="9"/>
    <x v="0"/>
    <n v="3"/>
    <n v="25"/>
    <x v="8"/>
    <x v="4"/>
  </r>
  <r>
    <x v="644"/>
    <d v="2023-11-17T00:00:00"/>
    <x v="644"/>
    <x v="1"/>
    <x v="10"/>
    <x v="2"/>
    <n v="4"/>
    <n v="30"/>
    <x v="10"/>
    <x v="0"/>
  </r>
  <r>
    <x v="645"/>
    <d v="2023-05-03T00:00:00"/>
    <x v="645"/>
    <x v="0"/>
    <x v="21"/>
    <x v="1"/>
    <n v="3"/>
    <n v="30"/>
    <x v="15"/>
    <x v="2"/>
  </r>
  <r>
    <x v="646"/>
    <d v="2023-05-21T00:00:00"/>
    <x v="646"/>
    <x v="0"/>
    <x v="42"/>
    <x v="1"/>
    <n v="3"/>
    <n v="500"/>
    <x v="9"/>
    <x v="1"/>
  </r>
  <r>
    <x v="647"/>
    <d v="2023-08-14T00:00:00"/>
    <x v="647"/>
    <x v="0"/>
    <x v="45"/>
    <x v="0"/>
    <n v="4"/>
    <n v="300"/>
    <x v="14"/>
    <x v="1"/>
  </r>
  <r>
    <x v="648"/>
    <d v="2023-02-09T00:00:00"/>
    <x v="648"/>
    <x v="1"/>
    <x v="26"/>
    <x v="1"/>
    <n v="2"/>
    <n v="300"/>
    <x v="6"/>
    <x v="1"/>
  </r>
  <r>
    <x v="649"/>
    <d v="2024-01-01T00:00:00"/>
    <x v="649"/>
    <x v="0"/>
    <x v="28"/>
    <x v="2"/>
    <n v="1"/>
    <n v="30"/>
    <x v="2"/>
    <x v="1"/>
  </r>
  <r>
    <x v="650"/>
    <d v="2023-05-27T00:00:00"/>
    <x v="650"/>
    <x v="0"/>
    <x v="25"/>
    <x v="1"/>
    <n v="3"/>
    <n v="50"/>
    <x v="0"/>
    <x v="1"/>
  </r>
  <r>
    <x v="651"/>
    <d v="2023-05-01T00:00:00"/>
    <x v="651"/>
    <x v="1"/>
    <x v="0"/>
    <x v="0"/>
    <n v="2"/>
    <n v="50"/>
    <x v="4"/>
    <x v="0"/>
  </r>
  <r>
    <x v="652"/>
    <d v="2023-05-20T00:00:00"/>
    <x v="652"/>
    <x v="0"/>
    <x v="31"/>
    <x v="1"/>
    <n v="3"/>
    <n v="25"/>
    <x v="8"/>
    <x v="1"/>
  </r>
  <r>
    <x v="653"/>
    <d v="2023-06-21T00:00:00"/>
    <x v="653"/>
    <x v="0"/>
    <x v="13"/>
    <x v="1"/>
    <n v="3"/>
    <n v="25"/>
    <x v="8"/>
    <x v="2"/>
  </r>
  <r>
    <x v="654"/>
    <d v="2023-06-13T00:00:00"/>
    <x v="654"/>
    <x v="1"/>
    <x v="28"/>
    <x v="1"/>
    <n v="1"/>
    <n v="500"/>
    <x v="3"/>
    <x v="1"/>
  </r>
  <r>
    <x v="655"/>
    <d v="2023-10-04T00:00:00"/>
    <x v="655"/>
    <x v="0"/>
    <x v="38"/>
    <x v="0"/>
    <n v="3"/>
    <n v="30"/>
    <x v="15"/>
    <x v="0"/>
  </r>
  <r>
    <x v="656"/>
    <d v="2023-02-11T00:00:00"/>
    <x v="656"/>
    <x v="0"/>
    <x v="30"/>
    <x v="1"/>
    <n v="1"/>
    <n v="25"/>
    <x v="16"/>
    <x v="2"/>
  </r>
  <r>
    <x v="657"/>
    <d v="2023-03-12T00:00:00"/>
    <x v="657"/>
    <x v="0"/>
    <x v="42"/>
    <x v="1"/>
    <n v="1"/>
    <n v="25"/>
    <x v="16"/>
    <x v="1"/>
  </r>
  <r>
    <x v="658"/>
    <d v="2023-03-19T00:00:00"/>
    <x v="658"/>
    <x v="1"/>
    <x v="23"/>
    <x v="2"/>
    <n v="1"/>
    <n v="30"/>
    <x v="2"/>
    <x v="2"/>
  </r>
  <r>
    <x v="659"/>
    <d v="2023-04-29T00:00:00"/>
    <x v="659"/>
    <x v="1"/>
    <x v="21"/>
    <x v="0"/>
    <n v="2"/>
    <n v="500"/>
    <x v="1"/>
    <x v="2"/>
  </r>
  <r>
    <x v="660"/>
    <d v="2023-07-16T00:00:00"/>
    <x v="660"/>
    <x v="1"/>
    <x v="24"/>
    <x v="1"/>
    <n v="4"/>
    <n v="25"/>
    <x v="4"/>
    <x v="2"/>
  </r>
  <r>
    <x v="661"/>
    <d v="2023-12-22T00:00:00"/>
    <x v="661"/>
    <x v="0"/>
    <x v="27"/>
    <x v="0"/>
    <n v="2"/>
    <n v="500"/>
    <x v="1"/>
    <x v="1"/>
  </r>
  <r>
    <x v="662"/>
    <d v="2023-03-20T00:00:00"/>
    <x v="662"/>
    <x v="0"/>
    <x v="9"/>
    <x v="1"/>
    <n v="4"/>
    <n v="300"/>
    <x v="14"/>
    <x v="4"/>
  </r>
  <r>
    <x v="663"/>
    <d v="2023-12-28T00:00:00"/>
    <x v="663"/>
    <x v="1"/>
    <x v="24"/>
    <x v="1"/>
    <n v="4"/>
    <n v="500"/>
    <x v="11"/>
    <x v="2"/>
  </r>
  <r>
    <x v="664"/>
    <d v="2023-04-20T00:00:00"/>
    <x v="664"/>
    <x v="0"/>
    <x v="35"/>
    <x v="1"/>
    <n v="1"/>
    <n v="50"/>
    <x v="5"/>
    <x v="1"/>
  </r>
  <r>
    <x v="665"/>
    <d v="2023-02-02T00:00:00"/>
    <x v="665"/>
    <x v="0"/>
    <x v="25"/>
    <x v="2"/>
    <n v="3"/>
    <n v="50"/>
    <x v="0"/>
    <x v="1"/>
  </r>
  <r>
    <x v="666"/>
    <d v="2023-08-01T00:00:00"/>
    <x v="666"/>
    <x v="1"/>
    <x v="38"/>
    <x v="2"/>
    <n v="1"/>
    <n v="500"/>
    <x v="3"/>
    <x v="0"/>
  </r>
  <r>
    <x v="667"/>
    <d v="2023-07-28T00:00:00"/>
    <x v="667"/>
    <x v="1"/>
    <x v="17"/>
    <x v="2"/>
    <n v="3"/>
    <n v="50"/>
    <x v="0"/>
    <x v="3"/>
  </r>
  <r>
    <x v="668"/>
    <d v="2023-06-19T00:00:00"/>
    <x v="668"/>
    <x v="0"/>
    <x v="46"/>
    <x v="0"/>
    <n v="4"/>
    <n v="300"/>
    <x v="14"/>
    <x v="4"/>
  </r>
  <r>
    <x v="669"/>
    <d v="2023-10-05T00:00:00"/>
    <x v="669"/>
    <x v="0"/>
    <x v="15"/>
    <x v="0"/>
    <n v="1"/>
    <n v="30"/>
    <x v="2"/>
    <x v="0"/>
  </r>
  <r>
    <x v="670"/>
    <d v="2023-08-27T00:00:00"/>
    <x v="670"/>
    <x v="0"/>
    <x v="17"/>
    <x v="2"/>
    <n v="3"/>
    <n v="50"/>
    <x v="0"/>
    <x v="3"/>
  </r>
  <r>
    <x v="671"/>
    <d v="2023-08-01T00:00:00"/>
    <x v="671"/>
    <x v="1"/>
    <x v="0"/>
    <x v="0"/>
    <n v="2"/>
    <n v="50"/>
    <x v="4"/>
    <x v="0"/>
  </r>
  <r>
    <x v="672"/>
    <d v="2023-02-01T00:00:00"/>
    <x v="672"/>
    <x v="1"/>
    <x v="22"/>
    <x v="1"/>
    <n v="3"/>
    <n v="500"/>
    <x v="9"/>
    <x v="2"/>
  </r>
  <r>
    <x v="673"/>
    <d v="2023-04-16T00:00:00"/>
    <x v="673"/>
    <x v="1"/>
    <x v="21"/>
    <x v="1"/>
    <n v="1"/>
    <n v="300"/>
    <x v="13"/>
    <x v="2"/>
  </r>
  <r>
    <x v="674"/>
    <d v="2023-08-04T00:00:00"/>
    <x v="674"/>
    <x v="1"/>
    <x v="5"/>
    <x v="1"/>
    <n v="2"/>
    <n v="30"/>
    <x v="17"/>
    <x v="2"/>
  </r>
  <r>
    <x v="675"/>
    <d v="2023-07-19T00:00:00"/>
    <x v="675"/>
    <x v="0"/>
    <x v="7"/>
    <x v="2"/>
    <n v="3"/>
    <n v="500"/>
    <x v="9"/>
    <x v="3"/>
  </r>
  <r>
    <x v="676"/>
    <d v="2023-10-27T00:00:00"/>
    <x v="676"/>
    <x v="1"/>
    <x v="14"/>
    <x v="0"/>
    <n v="3"/>
    <n v="500"/>
    <x v="9"/>
    <x v="4"/>
  </r>
  <r>
    <x v="677"/>
    <d v="2023-12-23T00:00:00"/>
    <x v="677"/>
    <x v="1"/>
    <x v="43"/>
    <x v="2"/>
    <n v="3"/>
    <n v="300"/>
    <x v="12"/>
    <x v="1"/>
  </r>
  <r>
    <x v="678"/>
    <d v="2023-01-11T00:00:00"/>
    <x v="678"/>
    <x v="1"/>
    <x v="18"/>
    <x v="0"/>
    <n v="3"/>
    <n v="30"/>
    <x v="15"/>
    <x v="4"/>
  </r>
  <r>
    <x v="679"/>
    <d v="2023-10-22T00:00:00"/>
    <x v="679"/>
    <x v="1"/>
    <x v="45"/>
    <x v="1"/>
    <n v="3"/>
    <n v="300"/>
    <x v="12"/>
    <x v="1"/>
  </r>
  <r>
    <x v="680"/>
    <d v="2023-07-14T00:00:00"/>
    <x v="680"/>
    <x v="1"/>
    <x v="22"/>
    <x v="2"/>
    <n v="2"/>
    <n v="30"/>
    <x v="17"/>
    <x v="2"/>
  </r>
  <r>
    <x v="681"/>
    <d v="2023-09-02T00:00:00"/>
    <x v="681"/>
    <x v="0"/>
    <x v="6"/>
    <x v="0"/>
    <n v="4"/>
    <n v="300"/>
    <x v="14"/>
    <x v="1"/>
  </r>
  <r>
    <x v="682"/>
    <d v="2023-01-04T00:00:00"/>
    <x v="682"/>
    <x v="0"/>
    <x v="21"/>
    <x v="0"/>
    <n v="2"/>
    <n v="500"/>
    <x v="1"/>
    <x v="2"/>
  </r>
  <r>
    <x v="683"/>
    <d v="2023-06-30T00:00:00"/>
    <x v="683"/>
    <x v="1"/>
    <x v="20"/>
    <x v="1"/>
    <n v="2"/>
    <n v="500"/>
    <x v="1"/>
    <x v="0"/>
  </r>
  <r>
    <x v="684"/>
    <d v="2023-06-02T00:00:00"/>
    <x v="684"/>
    <x v="0"/>
    <x v="35"/>
    <x v="2"/>
    <n v="2"/>
    <n v="25"/>
    <x v="5"/>
    <x v="1"/>
  </r>
  <r>
    <x v="685"/>
    <d v="2023-07-19T00:00:00"/>
    <x v="685"/>
    <x v="1"/>
    <x v="20"/>
    <x v="2"/>
    <n v="4"/>
    <n v="50"/>
    <x v="7"/>
    <x v="0"/>
  </r>
  <r>
    <x v="686"/>
    <d v="2023-08-03T00:00:00"/>
    <x v="686"/>
    <x v="1"/>
    <x v="45"/>
    <x v="2"/>
    <n v="1"/>
    <n v="300"/>
    <x v="13"/>
    <x v="1"/>
  </r>
  <r>
    <x v="687"/>
    <d v="2023-10-03T00:00:00"/>
    <x v="687"/>
    <x v="0"/>
    <x v="37"/>
    <x v="1"/>
    <n v="4"/>
    <n v="25"/>
    <x v="4"/>
    <x v="1"/>
  </r>
  <r>
    <x v="688"/>
    <d v="2023-10-07T00:00:00"/>
    <x v="688"/>
    <x v="0"/>
    <x v="35"/>
    <x v="2"/>
    <n v="2"/>
    <n v="50"/>
    <x v="4"/>
    <x v="1"/>
  </r>
  <r>
    <x v="689"/>
    <d v="2023-11-05T00:00:00"/>
    <x v="689"/>
    <x v="1"/>
    <x v="8"/>
    <x v="1"/>
    <n v="3"/>
    <n v="300"/>
    <x v="12"/>
    <x v="1"/>
  </r>
  <r>
    <x v="690"/>
    <d v="2023-04-23T00:00:00"/>
    <x v="690"/>
    <x v="1"/>
    <x v="25"/>
    <x v="1"/>
    <n v="3"/>
    <n v="30"/>
    <x v="15"/>
    <x v="1"/>
  </r>
  <r>
    <x v="691"/>
    <d v="2023-09-07T00:00:00"/>
    <x v="691"/>
    <x v="1"/>
    <x v="12"/>
    <x v="1"/>
    <n v="2"/>
    <n v="50"/>
    <x v="4"/>
    <x v="3"/>
  </r>
  <r>
    <x v="692"/>
    <d v="2023-04-23T00:00:00"/>
    <x v="692"/>
    <x v="0"/>
    <x v="41"/>
    <x v="0"/>
    <n v="3"/>
    <n v="500"/>
    <x v="9"/>
    <x v="2"/>
  </r>
  <r>
    <x v="693"/>
    <d v="2023-05-20T00:00:00"/>
    <x v="693"/>
    <x v="1"/>
    <x v="23"/>
    <x v="2"/>
    <n v="2"/>
    <n v="25"/>
    <x v="5"/>
    <x v="2"/>
  </r>
  <r>
    <x v="694"/>
    <d v="2023-08-12T00:00:00"/>
    <x v="694"/>
    <x v="1"/>
    <x v="11"/>
    <x v="2"/>
    <n v="3"/>
    <n v="50"/>
    <x v="0"/>
    <x v="4"/>
  </r>
  <r>
    <x v="695"/>
    <d v="2023-09-06T00:00:00"/>
    <x v="695"/>
    <x v="1"/>
    <x v="2"/>
    <x v="1"/>
    <n v="4"/>
    <n v="50"/>
    <x v="7"/>
    <x v="1"/>
  </r>
  <r>
    <x v="696"/>
    <d v="2023-01-15T00:00:00"/>
    <x v="696"/>
    <x v="0"/>
    <x v="45"/>
    <x v="1"/>
    <n v="1"/>
    <n v="500"/>
    <x v="3"/>
    <x v="1"/>
  </r>
  <r>
    <x v="697"/>
    <d v="2023-07-19T00:00:00"/>
    <x v="697"/>
    <x v="1"/>
    <x v="12"/>
    <x v="2"/>
    <n v="1"/>
    <n v="300"/>
    <x v="13"/>
    <x v="3"/>
  </r>
  <r>
    <x v="698"/>
    <d v="2023-06-22T00:00:00"/>
    <x v="698"/>
    <x v="1"/>
    <x v="3"/>
    <x v="1"/>
    <n v="4"/>
    <n v="30"/>
    <x v="10"/>
    <x v="2"/>
  </r>
  <r>
    <x v="699"/>
    <d v="2023-12-09T00:00:00"/>
    <x v="699"/>
    <x v="0"/>
    <x v="32"/>
    <x v="2"/>
    <n v="4"/>
    <n v="500"/>
    <x v="11"/>
    <x v="2"/>
  </r>
  <r>
    <x v="700"/>
    <d v="2023-12-14T00:00:00"/>
    <x v="700"/>
    <x v="1"/>
    <x v="8"/>
    <x v="0"/>
    <n v="2"/>
    <n v="30"/>
    <x v="17"/>
    <x v="1"/>
  </r>
  <r>
    <x v="701"/>
    <d v="2023-07-27T00:00:00"/>
    <x v="701"/>
    <x v="1"/>
    <x v="43"/>
    <x v="1"/>
    <n v="2"/>
    <n v="300"/>
    <x v="6"/>
    <x v="1"/>
  </r>
  <r>
    <x v="702"/>
    <d v="2023-03-26T00:00:00"/>
    <x v="702"/>
    <x v="0"/>
    <x v="0"/>
    <x v="2"/>
    <n v="2"/>
    <n v="50"/>
    <x v="4"/>
    <x v="0"/>
  </r>
  <r>
    <x v="703"/>
    <d v="2023-08-28T00:00:00"/>
    <x v="703"/>
    <x v="1"/>
    <x v="17"/>
    <x v="1"/>
    <n v="3"/>
    <n v="30"/>
    <x v="15"/>
    <x v="3"/>
  </r>
  <r>
    <x v="704"/>
    <d v="2023-03-07T00:00:00"/>
    <x v="704"/>
    <x v="0"/>
    <x v="43"/>
    <x v="2"/>
    <n v="2"/>
    <n v="25"/>
    <x v="5"/>
    <x v="1"/>
  </r>
  <r>
    <x v="705"/>
    <d v="2023-11-15T00:00:00"/>
    <x v="705"/>
    <x v="0"/>
    <x v="25"/>
    <x v="2"/>
    <n v="4"/>
    <n v="25"/>
    <x v="4"/>
    <x v="1"/>
  </r>
  <r>
    <x v="706"/>
    <d v="2023-10-01T00:00:00"/>
    <x v="706"/>
    <x v="1"/>
    <x v="1"/>
    <x v="1"/>
    <n v="1"/>
    <n v="500"/>
    <x v="3"/>
    <x v="0"/>
  </r>
  <r>
    <x v="707"/>
    <d v="2023-01-14T00:00:00"/>
    <x v="707"/>
    <x v="1"/>
    <x v="22"/>
    <x v="0"/>
    <n v="3"/>
    <n v="300"/>
    <x v="12"/>
    <x v="2"/>
  </r>
  <r>
    <x v="708"/>
    <d v="2023-07-21T00:00:00"/>
    <x v="708"/>
    <x v="1"/>
    <x v="14"/>
    <x v="2"/>
    <n v="2"/>
    <n v="500"/>
    <x v="1"/>
    <x v="4"/>
  </r>
  <r>
    <x v="709"/>
    <d v="2023-10-31T00:00:00"/>
    <x v="709"/>
    <x v="1"/>
    <x v="1"/>
    <x v="2"/>
    <n v="3"/>
    <n v="500"/>
    <x v="9"/>
    <x v="0"/>
  </r>
  <r>
    <x v="710"/>
    <d v="2023-10-16T00:00:00"/>
    <x v="710"/>
    <x v="0"/>
    <x v="1"/>
    <x v="2"/>
    <n v="3"/>
    <n v="500"/>
    <x v="9"/>
    <x v="0"/>
  </r>
  <r>
    <x v="711"/>
    <d v="2023-12-06T00:00:00"/>
    <x v="711"/>
    <x v="1"/>
    <x v="35"/>
    <x v="0"/>
    <n v="2"/>
    <n v="25"/>
    <x v="5"/>
    <x v="1"/>
  </r>
  <r>
    <x v="712"/>
    <d v="2023-01-14T00:00:00"/>
    <x v="712"/>
    <x v="0"/>
    <x v="0"/>
    <x v="0"/>
    <n v="3"/>
    <n v="25"/>
    <x v="8"/>
    <x v="0"/>
  </r>
  <r>
    <x v="713"/>
    <d v="2023-02-12T00:00:00"/>
    <x v="713"/>
    <x v="1"/>
    <x v="18"/>
    <x v="1"/>
    <n v="1"/>
    <n v="500"/>
    <x v="3"/>
    <x v="4"/>
  </r>
  <r>
    <x v="714"/>
    <d v="2023-11-26T00:00:00"/>
    <x v="714"/>
    <x v="1"/>
    <x v="13"/>
    <x v="0"/>
    <n v="4"/>
    <n v="25"/>
    <x v="4"/>
    <x v="2"/>
  </r>
  <r>
    <x v="715"/>
    <d v="2023-08-08T00:00:00"/>
    <x v="715"/>
    <x v="1"/>
    <x v="43"/>
    <x v="1"/>
    <n v="4"/>
    <n v="300"/>
    <x v="14"/>
    <x v="1"/>
  </r>
  <r>
    <x v="716"/>
    <d v="2023-03-11T00:00:00"/>
    <x v="716"/>
    <x v="0"/>
    <x v="35"/>
    <x v="1"/>
    <n v="1"/>
    <n v="500"/>
    <x v="3"/>
    <x v="1"/>
  </r>
  <r>
    <x v="717"/>
    <d v="2023-08-25T00:00:00"/>
    <x v="717"/>
    <x v="1"/>
    <x v="42"/>
    <x v="0"/>
    <n v="3"/>
    <n v="25"/>
    <x v="8"/>
    <x v="1"/>
  </r>
  <r>
    <x v="718"/>
    <d v="2023-04-04T00:00:00"/>
    <x v="718"/>
    <x v="1"/>
    <x v="13"/>
    <x v="1"/>
    <n v="2"/>
    <n v="30"/>
    <x v="17"/>
    <x v="2"/>
  </r>
  <r>
    <x v="719"/>
    <d v="2023-01-26T00:00:00"/>
    <x v="719"/>
    <x v="1"/>
    <x v="37"/>
    <x v="0"/>
    <n v="3"/>
    <n v="500"/>
    <x v="9"/>
    <x v="1"/>
  </r>
  <r>
    <x v="720"/>
    <d v="2023-05-14T00:00:00"/>
    <x v="720"/>
    <x v="1"/>
    <x v="8"/>
    <x v="1"/>
    <n v="1"/>
    <n v="500"/>
    <x v="3"/>
    <x v="1"/>
  </r>
  <r>
    <x v="721"/>
    <d v="2023-07-14T00:00:00"/>
    <x v="721"/>
    <x v="0"/>
    <x v="29"/>
    <x v="0"/>
    <n v="3"/>
    <n v="300"/>
    <x v="12"/>
    <x v="4"/>
  </r>
  <r>
    <x v="722"/>
    <d v="2023-06-17T00:00:00"/>
    <x v="722"/>
    <x v="1"/>
    <x v="31"/>
    <x v="0"/>
    <n v="4"/>
    <n v="50"/>
    <x v="7"/>
    <x v="1"/>
  </r>
  <r>
    <x v="723"/>
    <d v="2023-04-19T00:00:00"/>
    <x v="723"/>
    <x v="0"/>
    <x v="39"/>
    <x v="1"/>
    <n v="3"/>
    <n v="50"/>
    <x v="0"/>
    <x v="3"/>
  </r>
  <r>
    <x v="724"/>
    <d v="2023-08-21T00:00:00"/>
    <x v="724"/>
    <x v="0"/>
    <x v="39"/>
    <x v="2"/>
    <n v="1"/>
    <n v="300"/>
    <x v="13"/>
    <x v="3"/>
  </r>
  <r>
    <x v="725"/>
    <d v="2023-06-17T00:00:00"/>
    <x v="725"/>
    <x v="0"/>
    <x v="16"/>
    <x v="1"/>
    <n v="4"/>
    <n v="300"/>
    <x v="14"/>
    <x v="1"/>
  </r>
  <r>
    <x v="726"/>
    <d v="2023-06-22T00:00:00"/>
    <x v="726"/>
    <x v="0"/>
    <x v="28"/>
    <x v="0"/>
    <n v="3"/>
    <n v="300"/>
    <x v="12"/>
    <x v="1"/>
  </r>
  <r>
    <x v="727"/>
    <d v="2023-07-14T00:00:00"/>
    <x v="727"/>
    <x v="0"/>
    <x v="25"/>
    <x v="2"/>
    <n v="3"/>
    <n v="50"/>
    <x v="0"/>
    <x v="1"/>
  </r>
  <r>
    <x v="728"/>
    <d v="2023-05-23T00:00:00"/>
    <x v="728"/>
    <x v="0"/>
    <x v="38"/>
    <x v="1"/>
    <n v="4"/>
    <n v="300"/>
    <x v="14"/>
    <x v="0"/>
  </r>
  <r>
    <x v="729"/>
    <d v="2023-08-04T00:00:00"/>
    <x v="729"/>
    <x v="1"/>
    <x v="32"/>
    <x v="1"/>
    <n v="2"/>
    <n v="25"/>
    <x v="5"/>
    <x v="2"/>
  </r>
  <r>
    <x v="730"/>
    <d v="2023-05-10T00:00:00"/>
    <x v="730"/>
    <x v="0"/>
    <x v="31"/>
    <x v="1"/>
    <n v="4"/>
    <n v="500"/>
    <x v="11"/>
    <x v="1"/>
  </r>
  <r>
    <x v="731"/>
    <d v="2023-02-11T00:00:00"/>
    <x v="731"/>
    <x v="0"/>
    <x v="39"/>
    <x v="2"/>
    <n v="2"/>
    <n v="500"/>
    <x v="1"/>
    <x v="3"/>
  </r>
  <r>
    <x v="732"/>
    <d v="2023-08-29T00:00:00"/>
    <x v="732"/>
    <x v="0"/>
    <x v="0"/>
    <x v="0"/>
    <n v="1"/>
    <n v="30"/>
    <x v="2"/>
    <x v="0"/>
  </r>
  <r>
    <x v="733"/>
    <d v="2023-01-10T00:00:00"/>
    <x v="733"/>
    <x v="1"/>
    <x v="15"/>
    <x v="1"/>
    <n v="1"/>
    <n v="30"/>
    <x v="2"/>
    <x v="0"/>
  </r>
  <r>
    <x v="734"/>
    <d v="2023-10-04T00:00:00"/>
    <x v="734"/>
    <x v="1"/>
    <x v="12"/>
    <x v="1"/>
    <n v="4"/>
    <n v="500"/>
    <x v="11"/>
    <x v="3"/>
  </r>
  <r>
    <x v="735"/>
    <d v="2023-01-27T00:00:00"/>
    <x v="735"/>
    <x v="0"/>
    <x v="38"/>
    <x v="1"/>
    <n v="4"/>
    <n v="25"/>
    <x v="4"/>
    <x v="0"/>
  </r>
  <r>
    <x v="736"/>
    <d v="2023-06-29T00:00:00"/>
    <x v="736"/>
    <x v="1"/>
    <x v="44"/>
    <x v="1"/>
    <n v="1"/>
    <n v="50"/>
    <x v="5"/>
    <x v="0"/>
  </r>
  <r>
    <x v="737"/>
    <d v="2023-04-25T00:00:00"/>
    <x v="737"/>
    <x v="0"/>
    <x v="41"/>
    <x v="1"/>
    <n v="2"/>
    <n v="50"/>
    <x v="4"/>
    <x v="2"/>
  </r>
  <r>
    <x v="738"/>
    <d v="2023-11-29T00:00:00"/>
    <x v="738"/>
    <x v="0"/>
    <x v="32"/>
    <x v="0"/>
    <n v="1"/>
    <n v="25"/>
    <x v="16"/>
    <x v="2"/>
  </r>
  <r>
    <x v="739"/>
    <d v="2023-02-05T00:00:00"/>
    <x v="739"/>
    <x v="1"/>
    <x v="36"/>
    <x v="0"/>
    <n v="4"/>
    <n v="50"/>
    <x v="7"/>
    <x v="4"/>
  </r>
  <r>
    <x v="740"/>
    <d v="2023-11-30T00:00:00"/>
    <x v="740"/>
    <x v="0"/>
    <x v="27"/>
    <x v="1"/>
    <n v="1"/>
    <n v="300"/>
    <x v="13"/>
    <x v="1"/>
  </r>
  <r>
    <x v="741"/>
    <d v="2023-01-21T00:00:00"/>
    <x v="741"/>
    <x v="1"/>
    <x v="21"/>
    <x v="2"/>
    <n v="4"/>
    <n v="500"/>
    <x v="11"/>
    <x v="2"/>
  </r>
  <r>
    <x v="742"/>
    <d v="2023-01-16T00:00:00"/>
    <x v="742"/>
    <x v="1"/>
    <x v="0"/>
    <x v="0"/>
    <n v="4"/>
    <n v="500"/>
    <x v="11"/>
    <x v="0"/>
  </r>
  <r>
    <x v="743"/>
    <d v="2023-05-07T00:00:00"/>
    <x v="743"/>
    <x v="0"/>
    <x v="30"/>
    <x v="2"/>
    <n v="1"/>
    <n v="25"/>
    <x v="16"/>
    <x v="2"/>
  </r>
  <r>
    <x v="744"/>
    <d v="2023-04-13T00:00:00"/>
    <x v="744"/>
    <x v="0"/>
    <x v="31"/>
    <x v="0"/>
    <n v="2"/>
    <n v="50"/>
    <x v="4"/>
    <x v="1"/>
  </r>
  <r>
    <x v="745"/>
    <d v="2023-01-11T00:00:00"/>
    <x v="745"/>
    <x v="1"/>
    <x v="44"/>
    <x v="1"/>
    <n v="3"/>
    <n v="30"/>
    <x v="15"/>
    <x v="0"/>
  </r>
  <r>
    <x v="746"/>
    <d v="2023-11-15T00:00:00"/>
    <x v="746"/>
    <x v="0"/>
    <x v="9"/>
    <x v="0"/>
    <n v="1"/>
    <n v="30"/>
    <x v="2"/>
    <x v="4"/>
  </r>
  <r>
    <x v="747"/>
    <d v="2023-03-20T00:00:00"/>
    <x v="747"/>
    <x v="0"/>
    <x v="36"/>
    <x v="1"/>
    <n v="3"/>
    <n v="50"/>
    <x v="0"/>
    <x v="4"/>
  </r>
  <r>
    <x v="748"/>
    <d v="2023-05-03T00:00:00"/>
    <x v="748"/>
    <x v="0"/>
    <x v="13"/>
    <x v="0"/>
    <n v="1"/>
    <n v="30"/>
    <x v="2"/>
    <x v="2"/>
  </r>
  <r>
    <x v="749"/>
    <d v="2023-03-06T00:00:00"/>
    <x v="749"/>
    <x v="1"/>
    <x v="10"/>
    <x v="1"/>
    <n v="3"/>
    <n v="25"/>
    <x v="8"/>
    <x v="0"/>
  </r>
  <r>
    <x v="750"/>
    <d v="2023-08-31T00:00:00"/>
    <x v="750"/>
    <x v="1"/>
    <x v="13"/>
    <x v="1"/>
    <n v="2"/>
    <n v="25"/>
    <x v="5"/>
    <x v="2"/>
  </r>
  <r>
    <x v="751"/>
    <d v="2023-12-09T00:00:00"/>
    <x v="751"/>
    <x v="0"/>
    <x v="38"/>
    <x v="1"/>
    <n v="2"/>
    <n v="50"/>
    <x v="4"/>
    <x v="0"/>
  </r>
  <r>
    <x v="752"/>
    <d v="2023-02-28T00:00:00"/>
    <x v="752"/>
    <x v="1"/>
    <x v="40"/>
    <x v="1"/>
    <n v="1"/>
    <n v="30"/>
    <x v="2"/>
    <x v="0"/>
  </r>
  <r>
    <x v="753"/>
    <d v="2023-10-16T00:00:00"/>
    <x v="753"/>
    <x v="1"/>
    <x v="22"/>
    <x v="2"/>
    <n v="4"/>
    <n v="25"/>
    <x v="4"/>
    <x v="2"/>
  </r>
  <r>
    <x v="754"/>
    <d v="2023-04-22T00:00:00"/>
    <x v="754"/>
    <x v="1"/>
    <x v="26"/>
    <x v="1"/>
    <n v="3"/>
    <n v="25"/>
    <x v="8"/>
    <x v="1"/>
  </r>
  <r>
    <x v="755"/>
    <d v="2023-08-27T00:00:00"/>
    <x v="755"/>
    <x v="1"/>
    <x v="17"/>
    <x v="2"/>
    <n v="4"/>
    <n v="300"/>
    <x v="14"/>
    <x v="3"/>
  </r>
  <r>
    <x v="756"/>
    <d v="2023-12-25T00:00:00"/>
    <x v="756"/>
    <x v="1"/>
    <x v="22"/>
    <x v="2"/>
    <n v="4"/>
    <n v="300"/>
    <x v="14"/>
    <x v="2"/>
  </r>
  <r>
    <x v="757"/>
    <d v="2023-05-12T00:00:00"/>
    <x v="757"/>
    <x v="0"/>
    <x v="12"/>
    <x v="1"/>
    <n v="4"/>
    <n v="25"/>
    <x v="4"/>
    <x v="3"/>
  </r>
  <r>
    <x v="758"/>
    <d v="2023-07-08T00:00:00"/>
    <x v="758"/>
    <x v="0"/>
    <x v="19"/>
    <x v="2"/>
    <n v="2"/>
    <n v="50"/>
    <x v="4"/>
    <x v="1"/>
  </r>
  <r>
    <x v="759"/>
    <d v="2023-03-27T00:00:00"/>
    <x v="759"/>
    <x v="0"/>
    <x v="15"/>
    <x v="0"/>
    <n v="1"/>
    <n v="500"/>
    <x v="3"/>
    <x v="0"/>
  </r>
  <r>
    <x v="760"/>
    <d v="2023-11-07T00:00:00"/>
    <x v="760"/>
    <x v="1"/>
    <x v="44"/>
    <x v="1"/>
    <n v="1"/>
    <n v="500"/>
    <x v="3"/>
    <x v="0"/>
  </r>
  <r>
    <x v="761"/>
    <d v="2023-11-07T00:00:00"/>
    <x v="761"/>
    <x v="1"/>
    <x v="46"/>
    <x v="2"/>
    <n v="2"/>
    <n v="25"/>
    <x v="5"/>
    <x v="4"/>
  </r>
  <r>
    <x v="762"/>
    <d v="2023-02-28T00:00:00"/>
    <x v="762"/>
    <x v="0"/>
    <x v="0"/>
    <x v="1"/>
    <n v="2"/>
    <n v="25"/>
    <x v="5"/>
    <x v="0"/>
  </r>
  <r>
    <x v="763"/>
    <d v="2023-03-25T00:00:00"/>
    <x v="763"/>
    <x v="1"/>
    <x v="30"/>
    <x v="1"/>
    <n v="1"/>
    <n v="25"/>
    <x v="16"/>
    <x v="2"/>
  </r>
  <r>
    <x v="764"/>
    <d v="2023-06-09T00:00:00"/>
    <x v="764"/>
    <x v="0"/>
    <x v="22"/>
    <x v="1"/>
    <n v="4"/>
    <n v="50"/>
    <x v="7"/>
    <x v="2"/>
  </r>
  <r>
    <x v="765"/>
    <d v="2023-02-25T00:00:00"/>
    <x v="765"/>
    <x v="0"/>
    <x v="21"/>
    <x v="2"/>
    <n v="3"/>
    <n v="300"/>
    <x v="12"/>
    <x v="2"/>
  </r>
  <r>
    <x v="766"/>
    <d v="2023-10-24T00:00:00"/>
    <x v="766"/>
    <x v="0"/>
    <x v="23"/>
    <x v="0"/>
    <n v="3"/>
    <n v="25"/>
    <x v="8"/>
    <x v="2"/>
  </r>
  <r>
    <x v="767"/>
    <d v="2023-01-14T00:00:00"/>
    <x v="767"/>
    <x v="1"/>
    <x v="46"/>
    <x v="0"/>
    <n v="3"/>
    <n v="25"/>
    <x v="8"/>
    <x v="4"/>
  </r>
  <r>
    <x v="768"/>
    <d v="2023-06-09T00:00:00"/>
    <x v="768"/>
    <x v="1"/>
    <x v="33"/>
    <x v="2"/>
    <n v="4"/>
    <n v="30"/>
    <x v="10"/>
    <x v="0"/>
  </r>
  <r>
    <x v="769"/>
    <d v="2023-10-22T00:00:00"/>
    <x v="769"/>
    <x v="0"/>
    <x v="40"/>
    <x v="1"/>
    <n v="1"/>
    <n v="50"/>
    <x v="5"/>
    <x v="0"/>
  </r>
  <r>
    <x v="770"/>
    <d v="2023-12-13T00:00:00"/>
    <x v="770"/>
    <x v="0"/>
    <x v="46"/>
    <x v="2"/>
    <n v="2"/>
    <n v="25"/>
    <x v="5"/>
    <x v="4"/>
  </r>
  <r>
    <x v="771"/>
    <d v="2023-07-12T00:00:00"/>
    <x v="771"/>
    <x v="0"/>
    <x v="1"/>
    <x v="2"/>
    <n v="1"/>
    <n v="30"/>
    <x v="2"/>
    <x v="0"/>
  </r>
  <r>
    <x v="772"/>
    <d v="2023-07-23T00:00:00"/>
    <x v="772"/>
    <x v="0"/>
    <x v="36"/>
    <x v="2"/>
    <n v="4"/>
    <n v="500"/>
    <x v="11"/>
    <x v="4"/>
  </r>
  <r>
    <x v="773"/>
    <d v="2023-04-12T00:00:00"/>
    <x v="773"/>
    <x v="1"/>
    <x v="30"/>
    <x v="1"/>
    <n v="2"/>
    <n v="25"/>
    <x v="5"/>
    <x v="2"/>
  </r>
  <r>
    <x v="774"/>
    <d v="2023-02-08T00:00:00"/>
    <x v="774"/>
    <x v="1"/>
    <x v="6"/>
    <x v="2"/>
    <n v="4"/>
    <n v="25"/>
    <x v="4"/>
    <x v="1"/>
  </r>
  <r>
    <x v="775"/>
    <d v="2023-10-31T00:00:00"/>
    <x v="775"/>
    <x v="0"/>
    <x v="10"/>
    <x v="1"/>
    <n v="3"/>
    <n v="30"/>
    <x v="15"/>
    <x v="0"/>
  </r>
  <r>
    <x v="776"/>
    <d v="2023-12-20T00:00:00"/>
    <x v="776"/>
    <x v="0"/>
    <x v="27"/>
    <x v="2"/>
    <n v="3"/>
    <n v="50"/>
    <x v="0"/>
    <x v="1"/>
  </r>
  <r>
    <x v="777"/>
    <d v="2023-11-18T00:00:00"/>
    <x v="777"/>
    <x v="1"/>
    <x v="16"/>
    <x v="0"/>
    <n v="4"/>
    <n v="25"/>
    <x v="4"/>
    <x v="1"/>
  </r>
  <r>
    <x v="778"/>
    <d v="2023-05-05T00:00:00"/>
    <x v="778"/>
    <x v="1"/>
    <x v="37"/>
    <x v="2"/>
    <n v="2"/>
    <n v="500"/>
    <x v="1"/>
    <x v="1"/>
  </r>
  <r>
    <x v="779"/>
    <d v="2023-02-22T00:00:00"/>
    <x v="779"/>
    <x v="0"/>
    <x v="8"/>
    <x v="2"/>
    <n v="2"/>
    <n v="25"/>
    <x v="5"/>
    <x v="1"/>
  </r>
  <r>
    <x v="780"/>
    <d v="2023-12-23T00:00:00"/>
    <x v="780"/>
    <x v="0"/>
    <x v="10"/>
    <x v="0"/>
    <n v="1"/>
    <n v="500"/>
    <x v="3"/>
    <x v="0"/>
  </r>
  <r>
    <x v="781"/>
    <d v="2023-06-04T00:00:00"/>
    <x v="781"/>
    <x v="0"/>
    <x v="42"/>
    <x v="1"/>
    <n v="3"/>
    <n v="300"/>
    <x v="12"/>
    <x v="1"/>
  </r>
  <r>
    <x v="782"/>
    <d v="2023-12-17T00:00:00"/>
    <x v="782"/>
    <x v="1"/>
    <x v="37"/>
    <x v="1"/>
    <n v="1"/>
    <n v="300"/>
    <x v="13"/>
    <x v="1"/>
  </r>
  <r>
    <x v="783"/>
    <d v="2023-11-04T00:00:00"/>
    <x v="783"/>
    <x v="1"/>
    <x v="0"/>
    <x v="2"/>
    <n v="1"/>
    <n v="500"/>
    <x v="3"/>
    <x v="0"/>
  </r>
  <r>
    <x v="784"/>
    <d v="2023-03-03T00:00:00"/>
    <x v="784"/>
    <x v="1"/>
    <x v="33"/>
    <x v="0"/>
    <n v="4"/>
    <n v="50"/>
    <x v="7"/>
    <x v="0"/>
  </r>
  <r>
    <x v="785"/>
    <d v="2023-10-17T00:00:00"/>
    <x v="785"/>
    <x v="0"/>
    <x v="27"/>
    <x v="1"/>
    <n v="4"/>
    <n v="25"/>
    <x v="4"/>
    <x v="1"/>
  </r>
  <r>
    <x v="786"/>
    <d v="2023-01-22T00:00:00"/>
    <x v="786"/>
    <x v="0"/>
    <x v="41"/>
    <x v="2"/>
    <n v="1"/>
    <n v="25"/>
    <x v="16"/>
    <x v="2"/>
  </r>
  <r>
    <x v="787"/>
    <d v="2023-06-27T00:00:00"/>
    <x v="787"/>
    <x v="1"/>
    <x v="8"/>
    <x v="0"/>
    <n v="3"/>
    <n v="300"/>
    <x v="12"/>
    <x v="1"/>
  </r>
  <r>
    <x v="788"/>
    <d v="2023-09-30T00:00:00"/>
    <x v="788"/>
    <x v="1"/>
    <x v="39"/>
    <x v="1"/>
    <n v="4"/>
    <n v="500"/>
    <x v="11"/>
    <x v="3"/>
  </r>
  <r>
    <x v="789"/>
    <d v="2023-08-08T00:00:00"/>
    <x v="789"/>
    <x v="0"/>
    <x v="17"/>
    <x v="1"/>
    <n v="1"/>
    <n v="25"/>
    <x v="16"/>
    <x v="3"/>
  </r>
  <r>
    <x v="790"/>
    <d v="2023-12-05T00:00:00"/>
    <x v="790"/>
    <x v="1"/>
    <x v="25"/>
    <x v="0"/>
    <n v="1"/>
    <n v="25"/>
    <x v="16"/>
    <x v="1"/>
  </r>
  <r>
    <x v="791"/>
    <d v="2023-07-09T00:00:00"/>
    <x v="791"/>
    <x v="1"/>
    <x v="29"/>
    <x v="0"/>
    <n v="1"/>
    <n v="50"/>
    <x v="5"/>
    <x v="4"/>
  </r>
  <r>
    <x v="792"/>
    <d v="2023-02-05T00:00:00"/>
    <x v="792"/>
    <x v="0"/>
    <x v="31"/>
    <x v="0"/>
    <n v="1"/>
    <n v="30"/>
    <x v="2"/>
    <x v="1"/>
  </r>
  <r>
    <x v="793"/>
    <d v="2023-09-17T00:00:00"/>
    <x v="793"/>
    <x v="1"/>
    <x v="43"/>
    <x v="0"/>
    <n v="1"/>
    <n v="300"/>
    <x v="13"/>
    <x v="1"/>
  </r>
  <r>
    <x v="794"/>
    <d v="2023-11-28T00:00:00"/>
    <x v="794"/>
    <x v="0"/>
    <x v="35"/>
    <x v="2"/>
    <n v="1"/>
    <n v="300"/>
    <x v="13"/>
    <x v="1"/>
  </r>
  <r>
    <x v="795"/>
    <d v="2023-06-24T00:00:00"/>
    <x v="795"/>
    <x v="0"/>
    <x v="22"/>
    <x v="0"/>
    <n v="4"/>
    <n v="30"/>
    <x v="10"/>
    <x v="2"/>
  </r>
  <r>
    <x v="796"/>
    <d v="2023-01-07T00:00:00"/>
    <x v="796"/>
    <x v="0"/>
    <x v="30"/>
    <x v="1"/>
    <n v="3"/>
    <n v="25"/>
    <x v="8"/>
    <x v="2"/>
  </r>
  <r>
    <x v="797"/>
    <d v="2023-08-04T00:00:00"/>
    <x v="797"/>
    <x v="0"/>
    <x v="39"/>
    <x v="1"/>
    <n v="1"/>
    <n v="50"/>
    <x v="5"/>
    <x v="3"/>
  </r>
  <r>
    <x v="798"/>
    <d v="2023-09-08T00:00:00"/>
    <x v="798"/>
    <x v="0"/>
    <x v="37"/>
    <x v="2"/>
    <n v="2"/>
    <n v="50"/>
    <x v="4"/>
    <x v="1"/>
  </r>
  <r>
    <x v="799"/>
    <d v="2023-02-24T00:00:00"/>
    <x v="799"/>
    <x v="0"/>
    <x v="40"/>
    <x v="1"/>
    <n v="4"/>
    <n v="300"/>
    <x v="14"/>
    <x v="0"/>
  </r>
  <r>
    <x v="800"/>
    <d v="2023-08-10T00:00:00"/>
    <x v="800"/>
    <x v="0"/>
    <x v="34"/>
    <x v="1"/>
    <n v="4"/>
    <n v="50"/>
    <x v="7"/>
    <x v="4"/>
  </r>
  <r>
    <x v="801"/>
    <d v="2023-07-05T00:00:00"/>
    <x v="801"/>
    <x v="1"/>
    <x v="6"/>
    <x v="0"/>
    <n v="1"/>
    <n v="30"/>
    <x v="2"/>
    <x v="1"/>
  </r>
  <r>
    <x v="802"/>
    <d v="2023-11-22T00:00:00"/>
    <x v="802"/>
    <x v="0"/>
    <x v="23"/>
    <x v="1"/>
    <n v="4"/>
    <n v="25"/>
    <x v="4"/>
    <x v="2"/>
  </r>
  <r>
    <x v="803"/>
    <d v="2023-08-24T00:00:00"/>
    <x v="803"/>
    <x v="0"/>
    <x v="13"/>
    <x v="2"/>
    <n v="1"/>
    <n v="30"/>
    <x v="2"/>
    <x v="2"/>
  </r>
  <r>
    <x v="804"/>
    <d v="2023-12-29T00:00:00"/>
    <x v="804"/>
    <x v="1"/>
    <x v="4"/>
    <x v="0"/>
    <n v="3"/>
    <n v="500"/>
    <x v="9"/>
    <x v="0"/>
  </r>
  <r>
    <x v="805"/>
    <d v="2023-03-20T00:00:00"/>
    <x v="805"/>
    <x v="1"/>
    <x v="10"/>
    <x v="0"/>
    <n v="3"/>
    <n v="300"/>
    <x v="12"/>
    <x v="0"/>
  </r>
  <r>
    <x v="806"/>
    <d v="2023-08-11T00:00:00"/>
    <x v="806"/>
    <x v="1"/>
    <x v="2"/>
    <x v="2"/>
    <n v="4"/>
    <n v="50"/>
    <x v="7"/>
    <x v="1"/>
  </r>
  <r>
    <x v="807"/>
    <d v="2023-04-01T00:00:00"/>
    <x v="807"/>
    <x v="0"/>
    <x v="44"/>
    <x v="0"/>
    <n v="4"/>
    <n v="500"/>
    <x v="11"/>
    <x v="0"/>
  </r>
  <r>
    <x v="808"/>
    <d v="2023-09-25T00:00:00"/>
    <x v="808"/>
    <x v="1"/>
    <x v="17"/>
    <x v="0"/>
    <n v="2"/>
    <n v="50"/>
    <x v="4"/>
    <x v="3"/>
  </r>
  <r>
    <x v="809"/>
    <d v="2023-11-30T00:00:00"/>
    <x v="809"/>
    <x v="0"/>
    <x v="42"/>
    <x v="2"/>
    <n v="4"/>
    <n v="25"/>
    <x v="4"/>
    <x v="1"/>
  </r>
  <r>
    <x v="810"/>
    <d v="2023-05-19T00:00:00"/>
    <x v="810"/>
    <x v="0"/>
    <x v="39"/>
    <x v="0"/>
    <n v="2"/>
    <n v="25"/>
    <x v="5"/>
    <x v="3"/>
  </r>
  <r>
    <x v="811"/>
    <d v="2023-11-12T00:00:00"/>
    <x v="811"/>
    <x v="0"/>
    <x v="14"/>
    <x v="2"/>
    <n v="3"/>
    <n v="25"/>
    <x v="8"/>
    <x v="4"/>
  </r>
  <r>
    <x v="812"/>
    <d v="2023-10-03T00:00:00"/>
    <x v="812"/>
    <x v="0"/>
    <x v="8"/>
    <x v="2"/>
    <n v="3"/>
    <n v="50"/>
    <x v="0"/>
    <x v="1"/>
  </r>
  <r>
    <x v="813"/>
    <d v="2023-09-05T00:00:00"/>
    <x v="813"/>
    <x v="1"/>
    <x v="42"/>
    <x v="1"/>
    <n v="1"/>
    <n v="500"/>
    <x v="3"/>
    <x v="1"/>
  </r>
  <r>
    <x v="814"/>
    <d v="2023-08-27T00:00:00"/>
    <x v="814"/>
    <x v="1"/>
    <x v="25"/>
    <x v="1"/>
    <n v="3"/>
    <n v="25"/>
    <x v="8"/>
    <x v="1"/>
  </r>
  <r>
    <x v="815"/>
    <d v="2023-08-12T00:00:00"/>
    <x v="815"/>
    <x v="0"/>
    <x v="16"/>
    <x v="0"/>
    <n v="2"/>
    <n v="500"/>
    <x v="1"/>
    <x v="1"/>
  </r>
  <r>
    <x v="816"/>
    <d v="2023-10-31T00:00:00"/>
    <x v="816"/>
    <x v="0"/>
    <x v="4"/>
    <x v="0"/>
    <n v="4"/>
    <n v="50"/>
    <x v="7"/>
    <x v="0"/>
  </r>
  <r>
    <x v="817"/>
    <d v="2023-05-18T00:00:00"/>
    <x v="817"/>
    <x v="0"/>
    <x v="4"/>
    <x v="2"/>
    <n v="1"/>
    <n v="500"/>
    <x v="3"/>
    <x v="0"/>
  </r>
  <r>
    <x v="818"/>
    <d v="2023-06-15T00:00:00"/>
    <x v="818"/>
    <x v="1"/>
    <x v="10"/>
    <x v="0"/>
    <n v="2"/>
    <n v="50"/>
    <x v="4"/>
    <x v="0"/>
  </r>
  <r>
    <x v="819"/>
    <d v="2023-05-06T00:00:00"/>
    <x v="819"/>
    <x v="0"/>
    <x v="19"/>
    <x v="2"/>
    <n v="4"/>
    <n v="50"/>
    <x v="7"/>
    <x v="1"/>
  </r>
  <r>
    <x v="820"/>
    <d v="2023-02-14T00:00:00"/>
    <x v="820"/>
    <x v="0"/>
    <x v="19"/>
    <x v="2"/>
    <n v="1"/>
    <n v="300"/>
    <x v="13"/>
    <x v="1"/>
  </r>
  <r>
    <x v="821"/>
    <d v="2023-05-23T00:00:00"/>
    <x v="821"/>
    <x v="1"/>
    <x v="8"/>
    <x v="0"/>
    <n v="3"/>
    <n v="50"/>
    <x v="0"/>
    <x v="1"/>
  </r>
  <r>
    <x v="822"/>
    <d v="2023-08-19T00:00:00"/>
    <x v="822"/>
    <x v="1"/>
    <x v="37"/>
    <x v="2"/>
    <n v="2"/>
    <n v="50"/>
    <x v="4"/>
    <x v="1"/>
  </r>
  <r>
    <x v="823"/>
    <d v="2023-05-05T00:00:00"/>
    <x v="823"/>
    <x v="0"/>
    <x v="7"/>
    <x v="1"/>
    <n v="4"/>
    <n v="30"/>
    <x v="10"/>
    <x v="3"/>
  </r>
  <r>
    <x v="824"/>
    <d v="2023-08-26T00:00:00"/>
    <x v="824"/>
    <x v="1"/>
    <x v="6"/>
    <x v="0"/>
    <n v="1"/>
    <n v="25"/>
    <x v="16"/>
    <x v="1"/>
  </r>
  <r>
    <x v="825"/>
    <d v="2023-10-19T00:00:00"/>
    <x v="825"/>
    <x v="1"/>
    <x v="6"/>
    <x v="1"/>
    <n v="1"/>
    <n v="300"/>
    <x v="13"/>
    <x v="1"/>
  </r>
  <r>
    <x v="826"/>
    <d v="2023-11-09T00:00:00"/>
    <x v="826"/>
    <x v="0"/>
    <x v="39"/>
    <x v="0"/>
    <n v="3"/>
    <n v="300"/>
    <x v="12"/>
    <x v="3"/>
  </r>
  <r>
    <x v="827"/>
    <d v="2023-12-09T00:00:00"/>
    <x v="827"/>
    <x v="1"/>
    <x v="44"/>
    <x v="2"/>
    <n v="4"/>
    <n v="300"/>
    <x v="14"/>
    <x v="0"/>
  </r>
  <r>
    <x v="828"/>
    <d v="2023-07-14T00:00:00"/>
    <x v="828"/>
    <x v="0"/>
    <x v="39"/>
    <x v="0"/>
    <n v="3"/>
    <n v="30"/>
    <x v="15"/>
    <x v="3"/>
  </r>
  <r>
    <x v="829"/>
    <d v="2023-06-22T00:00:00"/>
    <x v="829"/>
    <x v="1"/>
    <x v="12"/>
    <x v="1"/>
    <n v="3"/>
    <n v="50"/>
    <x v="0"/>
    <x v="3"/>
  </r>
  <r>
    <x v="830"/>
    <d v="2023-01-15T00:00:00"/>
    <x v="830"/>
    <x v="0"/>
    <x v="15"/>
    <x v="2"/>
    <n v="4"/>
    <n v="25"/>
    <x v="4"/>
    <x v="0"/>
  </r>
  <r>
    <x v="831"/>
    <d v="2023-09-11T00:00:00"/>
    <x v="831"/>
    <x v="0"/>
    <x v="16"/>
    <x v="0"/>
    <n v="4"/>
    <n v="500"/>
    <x v="11"/>
    <x v="1"/>
  </r>
  <r>
    <x v="832"/>
    <d v="2023-06-16T00:00:00"/>
    <x v="832"/>
    <x v="0"/>
    <x v="13"/>
    <x v="0"/>
    <n v="4"/>
    <n v="50"/>
    <x v="7"/>
    <x v="2"/>
  </r>
  <r>
    <x v="833"/>
    <d v="2023-04-04T00:00:00"/>
    <x v="833"/>
    <x v="1"/>
    <x v="37"/>
    <x v="0"/>
    <n v="2"/>
    <n v="30"/>
    <x v="17"/>
    <x v="1"/>
  </r>
  <r>
    <x v="834"/>
    <d v="2023-09-07T00:00:00"/>
    <x v="834"/>
    <x v="0"/>
    <x v="3"/>
    <x v="1"/>
    <n v="4"/>
    <n v="50"/>
    <x v="7"/>
    <x v="2"/>
  </r>
  <r>
    <x v="835"/>
    <d v="2023-04-19T00:00:00"/>
    <x v="835"/>
    <x v="1"/>
    <x v="11"/>
    <x v="1"/>
    <n v="1"/>
    <n v="50"/>
    <x v="5"/>
    <x v="4"/>
  </r>
  <r>
    <x v="836"/>
    <d v="2023-07-01T00:00:00"/>
    <x v="836"/>
    <x v="0"/>
    <x v="18"/>
    <x v="0"/>
    <n v="3"/>
    <n v="30"/>
    <x v="15"/>
    <x v="4"/>
  </r>
  <r>
    <x v="837"/>
    <d v="2023-05-13T00:00:00"/>
    <x v="837"/>
    <x v="0"/>
    <x v="16"/>
    <x v="2"/>
    <n v="2"/>
    <n v="300"/>
    <x v="6"/>
    <x v="1"/>
  </r>
  <r>
    <x v="838"/>
    <d v="2023-06-24T00:00:00"/>
    <x v="838"/>
    <x v="1"/>
    <x v="29"/>
    <x v="2"/>
    <n v="4"/>
    <n v="300"/>
    <x v="14"/>
    <x v="4"/>
  </r>
  <r>
    <x v="839"/>
    <d v="2023-05-24T00:00:00"/>
    <x v="839"/>
    <x v="0"/>
    <x v="17"/>
    <x v="1"/>
    <n v="2"/>
    <n v="25"/>
    <x v="5"/>
    <x v="3"/>
  </r>
  <r>
    <x v="840"/>
    <d v="2023-11-02T00:00:00"/>
    <x v="840"/>
    <x v="0"/>
    <x v="33"/>
    <x v="2"/>
    <n v="4"/>
    <n v="25"/>
    <x v="4"/>
    <x v="0"/>
  </r>
  <r>
    <x v="841"/>
    <d v="2023-12-26T00:00:00"/>
    <x v="841"/>
    <x v="1"/>
    <x v="16"/>
    <x v="1"/>
    <n v="2"/>
    <n v="300"/>
    <x v="6"/>
    <x v="1"/>
  </r>
  <r>
    <x v="842"/>
    <d v="2023-05-22T00:00:00"/>
    <x v="842"/>
    <x v="0"/>
    <x v="34"/>
    <x v="0"/>
    <n v="3"/>
    <n v="500"/>
    <x v="9"/>
    <x v="4"/>
  </r>
  <r>
    <x v="843"/>
    <d v="2023-10-12T00:00:00"/>
    <x v="843"/>
    <x v="0"/>
    <x v="10"/>
    <x v="1"/>
    <n v="3"/>
    <n v="50"/>
    <x v="0"/>
    <x v="0"/>
  </r>
  <r>
    <x v="844"/>
    <d v="2023-01-06T00:00:00"/>
    <x v="844"/>
    <x v="0"/>
    <x v="31"/>
    <x v="1"/>
    <n v="1"/>
    <n v="500"/>
    <x v="3"/>
    <x v="1"/>
  </r>
  <r>
    <x v="845"/>
    <d v="2023-09-22T00:00:00"/>
    <x v="845"/>
    <x v="0"/>
    <x v="13"/>
    <x v="0"/>
    <n v="1"/>
    <n v="50"/>
    <x v="5"/>
    <x v="2"/>
  </r>
  <r>
    <x v="846"/>
    <d v="2023-04-08T00:00:00"/>
    <x v="846"/>
    <x v="1"/>
    <x v="18"/>
    <x v="2"/>
    <n v="4"/>
    <n v="300"/>
    <x v="14"/>
    <x v="4"/>
  </r>
  <r>
    <x v="847"/>
    <d v="2023-02-13T00:00:00"/>
    <x v="847"/>
    <x v="1"/>
    <x v="7"/>
    <x v="1"/>
    <n v="3"/>
    <n v="25"/>
    <x v="8"/>
    <x v="3"/>
  </r>
  <r>
    <x v="848"/>
    <d v="2023-05-04T00:00:00"/>
    <x v="848"/>
    <x v="0"/>
    <x v="40"/>
    <x v="1"/>
    <n v="2"/>
    <n v="25"/>
    <x v="5"/>
    <x v="0"/>
  </r>
  <r>
    <x v="849"/>
    <d v="2023-07-28T00:00:00"/>
    <x v="849"/>
    <x v="1"/>
    <x v="1"/>
    <x v="0"/>
    <n v="2"/>
    <n v="500"/>
    <x v="1"/>
    <x v="0"/>
  </r>
  <r>
    <x v="850"/>
    <d v="2023-09-08T00:00:00"/>
    <x v="850"/>
    <x v="0"/>
    <x v="40"/>
    <x v="2"/>
    <n v="2"/>
    <n v="25"/>
    <x v="5"/>
    <x v="0"/>
  </r>
  <r>
    <x v="851"/>
    <d v="2023-10-12T00:00:00"/>
    <x v="851"/>
    <x v="1"/>
    <x v="41"/>
    <x v="1"/>
    <n v="1"/>
    <n v="300"/>
    <x v="13"/>
    <x v="2"/>
  </r>
  <r>
    <x v="852"/>
    <d v="2023-05-04T00:00:00"/>
    <x v="852"/>
    <x v="0"/>
    <x v="34"/>
    <x v="0"/>
    <n v="2"/>
    <n v="500"/>
    <x v="1"/>
    <x v="4"/>
  </r>
  <r>
    <x v="853"/>
    <d v="2023-12-20T00:00:00"/>
    <x v="853"/>
    <x v="0"/>
    <x v="38"/>
    <x v="1"/>
    <n v="1"/>
    <n v="50"/>
    <x v="5"/>
    <x v="0"/>
  </r>
  <r>
    <x v="854"/>
    <d v="2023-09-01T00:00:00"/>
    <x v="854"/>
    <x v="0"/>
    <x v="31"/>
    <x v="0"/>
    <n v="1"/>
    <n v="25"/>
    <x v="16"/>
    <x v="1"/>
  </r>
  <r>
    <x v="855"/>
    <d v="2023-11-27T00:00:00"/>
    <x v="855"/>
    <x v="0"/>
    <x v="31"/>
    <x v="2"/>
    <n v="4"/>
    <n v="30"/>
    <x v="10"/>
    <x v="1"/>
  </r>
  <r>
    <x v="856"/>
    <d v="2023-12-31T00:00:00"/>
    <x v="856"/>
    <x v="0"/>
    <x v="43"/>
    <x v="2"/>
    <n v="2"/>
    <n v="25"/>
    <x v="5"/>
    <x v="1"/>
  </r>
  <r>
    <x v="857"/>
    <d v="2023-09-09T00:00:00"/>
    <x v="857"/>
    <x v="0"/>
    <x v="9"/>
    <x v="2"/>
    <n v="2"/>
    <n v="50"/>
    <x v="4"/>
    <x v="4"/>
  </r>
  <r>
    <x v="858"/>
    <d v="2023-08-18T00:00:00"/>
    <x v="858"/>
    <x v="1"/>
    <x v="37"/>
    <x v="2"/>
    <n v="3"/>
    <n v="500"/>
    <x v="9"/>
    <x v="1"/>
  </r>
  <r>
    <x v="859"/>
    <d v="2023-01-09T00:00:00"/>
    <x v="859"/>
    <x v="0"/>
    <x v="7"/>
    <x v="1"/>
    <n v="4"/>
    <n v="50"/>
    <x v="7"/>
    <x v="3"/>
  </r>
  <r>
    <x v="860"/>
    <d v="2023-02-17T00:00:00"/>
    <x v="860"/>
    <x v="1"/>
    <x v="41"/>
    <x v="1"/>
    <n v="3"/>
    <n v="30"/>
    <x v="15"/>
    <x v="2"/>
  </r>
  <r>
    <x v="861"/>
    <d v="2023-05-31T00:00:00"/>
    <x v="861"/>
    <x v="0"/>
    <x v="20"/>
    <x v="2"/>
    <n v="4"/>
    <n v="300"/>
    <x v="14"/>
    <x v="0"/>
  </r>
  <r>
    <x v="862"/>
    <d v="2023-04-24T00:00:00"/>
    <x v="862"/>
    <x v="1"/>
    <x v="4"/>
    <x v="2"/>
    <n v="2"/>
    <n v="25"/>
    <x v="5"/>
    <x v="0"/>
  </r>
  <r>
    <x v="863"/>
    <d v="2023-07-27T00:00:00"/>
    <x v="863"/>
    <x v="1"/>
    <x v="25"/>
    <x v="2"/>
    <n v="1"/>
    <n v="500"/>
    <x v="3"/>
    <x v="1"/>
  </r>
  <r>
    <x v="864"/>
    <d v="2023-12-21T00:00:00"/>
    <x v="864"/>
    <x v="1"/>
    <x v="13"/>
    <x v="1"/>
    <n v="1"/>
    <n v="300"/>
    <x v="13"/>
    <x v="2"/>
  </r>
  <r>
    <x v="865"/>
    <d v="2023-05-05T00:00:00"/>
    <x v="865"/>
    <x v="0"/>
    <x v="46"/>
    <x v="2"/>
    <n v="1"/>
    <n v="50"/>
    <x v="5"/>
    <x v="4"/>
  </r>
  <r>
    <x v="866"/>
    <d v="2023-06-06T00:00:00"/>
    <x v="866"/>
    <x v="0"/>
    <x v="34"/>
    <x v="2"/>
    <n v="1"/>
    <n v="500"/>
    <x v="3"/>
    <x v="4"/>
  </r>
  <r>
    <x v="867"/>
    <d v="2023-12-06T00:00:00"/>
    <x v="867"/>
    <x v="1"/>
    <x v="36"/>
    <x v="2"/>
    <n v="1"/>
    <n v="300"/>
    <x v="13"/>
    <x v="4"/>
  </r>
  <r>
    <x v="868"/>
    <d v="2023-10-25T00:00:00"/>
    <x v="868"/>
    <x v="0"/>
    <x v="3"/>
    <x v="0"/>
    <n v="3"/>
    <n v="500"/>
    <x v="9"/>
    <x v="2"/>
  </r>
  <r>
    <x v="869"/>
    <d v="2023-07-08T00:00:00"/>
    <x v="869"/>
    <x v="1"/>
    <x v="6"/>
    <x v="2"/>
    <n v="4"/>
    <n v="30"/>
    <x v="10"/>
    <x v="1"/>
  </r>
  <r>
    <x v="870"/>
    <d v="2023-08-31T00:00:00"/>
    <x v="870"/>
    <x v="0"/>
    <x v="17"/>
    <x v="0"/>
    <n v="2"/>
    <n v="30"/>
    <x v="17"/>
    <x v="3"/>
  </r>
  <r>
    <x v="871"/>
    <d v="2023-10-11T00:00:00"/>
    <x v="871"/>
    <x v="1"/>
    <x v="7"/>
    <x v="0"/>
    <n v="3"/>
    <n v="25"/>
    <x v="8"/>
    <x v="3"/>
  </r>
  <r>
    <x v="872"/>
    <d v="2023-09-29T00:00:00"/>
    <x v="872"/>
    <x v="1"/>
    <x v="15"/>
    <x v="2"/>
    <n v="4"/>
    <n v="25"/>
    <x v="4"/>
    <x v="0"/>
  </r>
  <r>
    <x v="873"/>
    <d v="2023-06-26T00:00:00"/>
    <x v="873"/>
    <x v="0"/>
    <x v="43"/>
    <x v="0"/>
    <n v="1"/>
    <n v="30"/>
    <x v="2"/>
    <x v="1"/>
  </r>
  <r>
    <x v="874"/>
    <d v="2023-08-06T00:00:00"/>
    <x v="874"/>
    <x v="1"/>
    <x v="25"/>
    <x v="2"/>
    <n v="4"/>
    <n v="500"/>
    <x v="11"/>
    <x v="1"/>
  </r>
  <r>
    <x v="875"/>
    <d v="2023-10-09T00:00:00"/>
    <x v="875"/>
    <x v="0"/>
    <x v="22"/>
    <x v="1"/>
    <n v="4"/>
    <n v="30"/>
    <x v="10"/>
    <x v="2"/>
  </r>
  <r>
    <x v="876"/>
    <d v="2023-06-19T00:00:00"/>
    <x v="876"/>
    <x v="1"/>
    <x v="26"/>
    <x v="1"/>
    <n v="1"/>
    <n v="25"/>
    <x v="16"/>
    <x v="1"/>
  </r>
  <r>
    <x v="877"/>
    <d v="2023-06-30T00:00:00"/>
    <x v="877"/>
    <x v="1"/>
    <x v="29"/>
    <x v="1"/>
    <n v="1"/>
    <n v="30"/>
    <x v="2"/>
    <x v="4"/>
  </r>
  <r>
    <x v="878"/>
    <d v="2023-12-26T00:00:00"/>
    <x v="878"/>
    <x v="0"/>
    <x v="9"/>
    <x v="1"/>
    <n v="1"/>
    <n v="30"/>
    <x v="2"/>
    <x v="4"/>
  </r>
  <r>
    <x v="879"/>
    <d v="2023-08-21T00:00:00"/>
    <x v="879"/>
    <x v="0"/>
    <x v="11"/>
    <x v="0"/>
    <n v="2"/>
    <n v="500"/>
    <x v="1"/>
    <x v="4"/>
  </r>
  <r>
    <x v="880"/>
    <d v="2023-05-19T00:00:00"/>
    <x v="880"/>
    <x v="0"/>
    <x v="11"/>
    <x v="2"/>
    <n v="1"/>
    <n v="300"/>
    <x v="13"/>
    <x v="4"/>
  </r>
  <r>
    <x v="881"/>
    <d v="2023-06-06T00:00:00"/>
    <x v="881"/>
    <x v="1"/>
    <x v="12"/>
    <x v="2"/>
    <n v="2"/>
    <n v="25"/>
    <x v="5"/>
    <x v="3"/>
  </r>
  <r>
    <x v="882"/>
    <d v="2023-05-09T00:00:00"/>
    <x v="882"/>
    <x v="0"/>
    <x v="30"/>
    <x v="2"/>
    <n v="1"/>
    <n v="500"/>
    <x v="3"/>
    <x v="2"/>
  </r>
  <r>
    <x v="883"/>
    <d v="2023-04-29T00:00:00"/>
    <x v="883"/>
    <x v="1"/>
    <x v="1"/>
    <x v="1"/>
    <n v="2"/>
    <n v="30"/>
    <x v="17"/>
    <x v="0"/>
  </r>
  <r>
    <x v="884"/>
    <d v="2023-03-03T00:00:00"/>
    <x v="884"/>
    <x v="1"/>
    <x v="8"/>
    <x v="1"/>
    <n v="4"/>
    <n v="30"/>
    <x v="10"/>
    <x v="1"/>
  </r>
  <r>
    <x v="885"/>
    <d v="2023-04-09T00:00:00"/>
    <x v="885"/>
    <x v="0"/>
    <x v="3"/>
    <x v="2"/>
    <n v="3"/>
    <n v="300"/>
    <x v="12"/>
    <x v="2"/>
  </r>
  <r>
    <x v="886"/>
    <d v="2023-06-11T00:00:00"/>
    <x v="886"/>
    <x v="0"/>
    <x v="42"/>
    <x v="1"/>
    <n v="4"/>
    <n v="25"/>
    <x v="4"/>
    <x v="1"/>
  </r>
  <r>
    <x v="887"/>
    <d v="2023-03-03T00:00:00"/>
    <x v="887"/>
    <x v="1"/>
    <x v="8"/>
    <x v="2"/>
    <n v="4"/>
    <n v="25"/>
    <x v="4"/>
    <x v="1"/>
  </r>
  <r>
    <x v="888"/>
    <d v="2023-10-02T00:00:00"/>
    <x v="888"/>
    <x v="1"/>
    <x v="10"/>
    <x v="2"/>
    <n v="1"/>
    <n v="50"/>
    <x v="5"/>
    <x v="0"/>
  </r>
  <r>
    <x v="889"/>
    <d v="2023-12-20T00:00:00"/>
    <x v="889"/>
    <x v="0"/>
    <x v="0"/>
    <x v="2"/>
    <n v="2"/>
    <n v="25"/>
    <x v="5"/>
    <x v="0"/>
  </r>
  <r>
    <x v="890"/>
    <d v="2023-04-05T00:00:00"/>
    <x v="890"/>
    <x v="0"/>
    <x v="41"/>
    <x v="2"/>
    <n v="3"/>
    <n v="300"/>
    <x v="12"/>
    <x v="2"/>
  </r>
  <r>
    <x v="891"/>
    <d v="2023-04-09T00:00:00"/>
    <x v="891"/>
    <x v="0"/>
    <x v="29"/>
    <x v="2"/>
    <n v="1"/>
    <n v="50"/>
    <x v="5"/>
    <x v="4"/>
  </r>
  <r>
    <x v="892"/>
    <d v="2023-04-21T00:00:00"/>
    <x v="892"/>
    <x v="0"/>
    <x v="19"/>
    <x v="2"/>
    <n v="1"/>
    <n v="50"/>
    <x v="5"/>
    <x v="1"/>
  </r>
  <r>
    <x v="893"/>
    <d v="2023-09-05T00:00:00"/>
    <x v="893"/>
    <x v="0"/>
    <x v="8"/>
    <x v="2"/>
    <n v="1"/>
    <n v="30"/>
    <x v="2"/>
    <x v="1"/>
  </r>
  <r>
    <x v="894"/>
    <d v="2023-05-22T00:00:00"/>
    <x v="894"/>
    <x v="1"/>
    <x v="28"/>
    <x v="1"/>
    <n v="4"/>
    <n v="30"/>
    <x v="10"/>
    <x v="1"/>
  </r>
  <r>
    <x v="895"/>
    <d v="2023-10-29T00:00:00"/>
    <x v="895"/>
    <x v="1"/>
    <x v="4"/>
    <x v="2"/>
    <n v="2"/>
    <n v="25"/>
    <x v="5"/>
    <x v="0"/>
  </r>
  <r>
    <x v="896"/>
    <d v="2023-09-26T00:00:00"/>
    <x v="896"/>
    <x v="1"/>
    <x v="12"/>
    <x v="2"/>
    <n v="2"/>
    <n v="50"/>
    <x v="4"/>
    <x v="3"/>
  </r>
  <r>
    <x v="897"/>
    <d v="2023-11-02T00:00:00"/>
    <x v="897"/>
    <x v="1"/>
    <x v="13"/>
    <x v="1"/>
    <n v="3"/>
    <n v="30"/>
    <x v="15"/>
    <x v="2"/>
  </r>
  <r>
    <x v="898"/>
    <d v="2023-05-25T00:00:00"/>
    <x v="898"/>
    <x v="0"/>
    <x v="1"/>
    <x v="1"/>
    <n v="2"/>
    <n v="300"/>
    <x v="6"/>
    <x v="0"/>
  </r>
  <r>
    <x v="899"/>
    <d v="2023-02-21T00:00:00"/>
    <x v="899"/>
    <x v="0"/>
    <x v="34"/>
    <x v="1"/>
    <n v="2"/>
    <n v="30"/>
    <x v="17"/>
    <x v="4"/>
  </r>
  <r>
    <x v="900"/>
    <d v="2023-04-10T00:00:00"/>
    <x v="900"/>
    <x v="0"/>
    <x v="33"/>
    <x v="2"/>
    <n v="1"/>
    <n v="30"/>
    <x v="2"/>
    <x v="0"/>
  </r>
  <r>
    <x v="901"/>
    <d v="2023-06-01T00:00:00"/>
    <x v="901"/>
    <x v="1"/>
    <x v="31"/>
    <x v="0"/>
    <n v="1"/>
    <n v="50"/>
    <x v="5"/>
    <x v="1"/>
  </r>
  <r>
    <x v="902"/>
    <d v="2023-04-27T00:00:00"/>
    <x v="902"/>
    <x v="1"/>
    <x v="25"/>
    <x v="0"/>
    <n v="4"/>
    <n v="50"/>
    <x v="7"/>
    <x v="1"/>
  </r>
  <r>
    <x v="903"/>
    <d v="2023-07-04T00:00:00"/>
    <x v="903"/>
    <x v="0"/>
    <x v="20"/>
    <x v="1"/>
    <n v="1"/>
    <n v="500"/>
    <x v="3"/>
    <x v="0"/>
  </r>
  <r>
    <x v="904"/>
    <d v="2023-04-02T00:00:00"/>
    <x v="904"/>
    <x v="0"/>
    <x v="26"/>
    <x v="0"/>
    <n v="1"/>
    <n v="300"/>
    <x v="13"/>
    <x v="1"/>
  </r>
  <r>
    <x v="905"/>
    <d v="2023-06-04T00:00:00"/>
    <x v="905"/>
    <x v="1"/>
    <x v="29"/>
    <x v="1"/>
    <n v="1"/>
    <n v="50"/>
    <x v="5"/>
    <x v="4"/>
  </r>
  <r>
    <x v="906"/>
    <d v="2023-01-08T00:00:00"/>
    <x v="906"/>
    <x v="1"/>
    <x v="5"/>
    <x v="2"/>
    <n v="1"/>
    <n v="25"/>
    <x v="16"/>
    <x v="2"/>
  </r>
  <r>
    <x v="907"/>
    <d v="2023-12-29T00:00:00"/>
    <x v="907"/>
    <x v="0"/>
    <x v="6"/>
    <x v="0"/>
    <n v="4"/>
    <n v="300"/>
    <x v="14"/>
    <x v="1"/>
  </r>
  <r>
    <x v="908"/>
    <d v="2023-10-01T00:00:00"/>
    <x v="908"/>
    <x v="0"/>
    <x v="1"/>
    <x v="2"/>
    <n v="1"/>
    <n v="300"/>
    <x v="13"/>
    <x v="0"/>
  </r>
  <r>
    <x v="909"/>
    <d v="2023-03-06T00:00:00"/>
    <x v="909"/>
    <x v="1"/>
    <x v="29"/>
    <x v="0"/>
    <n v="3"/>
    <n v="50"/>
    <x v="0"/>
    <x v="4"/>
  </r>
  <r>
    <x v="910"/>
    <d v="2023-05-21T00:00:00"/>
    <x v="910"/>
    <x v="0"/>
    <x v="13"/>
    <x v="2"/>
    <n v="3"/>
    <n v="300"/>
    <x v="12"/>
    <x v="2"/>
  </r>
  <r>
    <x v="911"/>
    <d v="2023-01-24T00:00:00"/>
    <x v="911"/>
    <x v="0"/>
    <x v="25"/>
    <x v="0"/>
    <n v="3"/>
    <n v="50"/>
    <x v="0"/>
    <x v="1"/>
  </r>
  <r>
    <x v="912"/>
    <d v="2023-01-28T00:00:00"/>
    <x v="912"/>
    <x v="0"/>
    <x v="38"/>
    <x v="2"/>
    <n v="3"/>
    <n v="30"/>
    <x v="15"/>
    <x v="0"/>
  </r>
  <r>
    <x v="913"/>
    <d v="2023-10-11T00:00:00"/>
    <x v="913"/>
    <x v="1"/>
    <x v="42"/>
    <x v="2"/>
    <n v="1"/>
    <n v="500"/>
    <x v="3"/>
    <x v="1"/>
  </r>
  <r>
    <x v="914"/>
    <d v="2023-05-30T00:00:00"/>
    <x v="914"/>
    <x v="1"/>
    <x v="1"/>
    <x v="0"/>
    <n v="3"/>
    <n v="30"/>
    <x v="15"/>
    <x v="0"/>
  </r>
  <r>
    <x v="915"/>
    <d v="2023-12-24T00:00:00"/>
    <x v="915"/>
    <x v="1"/>
    <x v="40"/>
    <x v="2"/>
    <n v="1"/>
    <n v="50"/>
    <x v="5"/>
    <x v="0"/>
  </r>
  <r>
    <x v="916"/>
    <d v="2023-03-06T00:00:00"/>
    <x v="916"/>
    <x v="1"/>
    <x v="35"/>
    <x v="2"/>
    <n v="4"/>
    <n v="50"/>
    <x v="7"/>
    <x v="1"/>
  </r>
  <r>
    <x v="917"/>
    <d v="2023-11-23T00:00:00"/>
    <x v="917"/>
    <x v="1"/>
    <x v="13"/>
    <x v="2"/>
    <n v="3"/>
    <n v="30"/>
    <x v="15"/>
    <x v="2"/>
  </r>
  <r>
    <x v="918"/>
    <d v="2023-09-09T00:00:00"/>
    <x v="918"/>
    <x v="1"/>
    <x v="11"/>
    <x v="0"/>
    <n v="2"/>
    <n v="25"/>
    <x v="5"/>
    <x v="4"/>
  </r>
  <r>
    <x v="919"/>
    <d v="2023-02-22T00:00:00"/>
    <x v="919"/>
    <x v="1"/>
    <x v="20"/>
    <x v="0"/>
    <n v="3"/>
    <n v="25"/>
    <x v="8"/>
    <x v="0"/>
  </r>
  <r>
    <x v="920"/>
    <d v="2023-01-07T00:00:00"/>
    <x v="920"/>
    <x v="0"/>
    <x v="25"/>
    <x v="2"/>
    <n v="3"/>
    <n v="25"/>
    <x v="8"/>
    <x v="1"/>
  </r>
  <r>
    <x v="921"/>
    <d v="2023-10-21T00:00:00"/>
    <x v="921"/>
    <x v="0"/>
    <x v="41"/>
    <x v="2"/>
    <n v="1"/>
    <n v="50"/>
    <x v="5"/>
    <x v="2"/>
  </r>
  <r>
    <x v="922"/>
    <d v="2023-05-26T00:00:00"/>
    <x v="922"/>
    <x v="0"/>
    <x v="40"/>
    <x v="0"/>
    <n v="3"/>
    <n v="300"/>
    <x v="12"/>
    <x v="0"/>
  </r>
  <r>
    <x v="923"/>
    <d v="2023-08-29T00:00:00"/>
    <x v="923"/>
    <x v="0"/>
    <x v="28"/>
    <x v="0"/>
    <n v="2"/>
    <n v="50"/>
    <x v="4"/>
    <x v="1"/>
  </r>
  <r>
    <x v="924"/>
    <d v="2023-09-03T00:00:00"/>
    <x v="924"/>
    <x v="0"/>
    <x v="36"/>
    <x v="2"/>
    <n v="1"/>
    <n v="300"/>
    <x v="13"/>
    <x v="4"/>
  </r>
  <r>
    <x v="925"/>
    <d v="2023-08-14T00:00:00"/>
    <x v="925"/>
    <x v="0"/>
    <x v="11"/>
    <x v="2"/>
    <n v="1"/>
    <n v="30"/>
    <x v="2"/>
    <x v="4"/>
  </r>
  <r>
    <x v="926"/>
    <d v="2023-06-24T00:00:00"/>
    <x v="926"/>
    <x v="0"/>
    <x v="22"/>
    <x v="2"/>
    <n v="4"/>
    <n v="500"/>
    <x v="11"/>
    <x v="2"/>
  </r>
  <r>
    <x v="927"/>
    <d v="2023-04-05T00:00:00"/>
    <x v="927"/>
    <x v="1"/>
    <x v="10"/>
    <x v="1"/>
    <n v="4"/>
    <n v="300"/>
    <x v="14"/>
    <x v="0"/>
  </r>
  <r>
    <x v="928"/>
    <d v="2023-01-27T00:00:00"/>
    <x v="928"/>
    <x v="1"/>
    <x v="9"/>
    <x v="0"/>
    <n v="3"/>
    <n v="25"/>
    <x v="8"/>
    <x v="4"/>
  </r>
  <r>
    <x v="929"/>
    <d v="2023-05-10T00:00:00"/>
    <x v="929"/>
    <x v="0"/>
    <x v="31"/>
    <x v="1"/>
    <n v="4"/>
    <n v="50"/>
    <x v="7"/>
    <x v="1"/>
  </r>
  <r>
    <x v="930"/>
    <d v="2023-09-02T00:00:00"/>
    <x v="930"/>
    <x v="0"/>
    <x v="4"/>
    <x v="0"/>
    <n v="4"/>
    <n v="30"/>
    <x v="10"/>
    <x v="0"/>
  </r>
  <r>
    <x v="931"/>
    <d v="2023-02-28T00:00:00"/>
    <x v="931"/>
    <x v="1"/>
    <x v="5"/>
    <x v="0"/>
    <n v="4"/>
    <n v="25"/>
    <x v="4"/>
    <x v="2"/>
  </r>
  <r>
    <x v="932"/>
    <d v="2023-02-03T00:00:00"/>
    <x v="932"/>
    <x v="0"/>
    <x v="11"/>
    <x v="0"/>
    <n v="1"/>
    <n v="30"/>
    <x v="2"/>
    <x v="4"/>
  </r>
  <r>
    <x v="933"/>
    <d v="2023-07-25T00:00:00"/>
    <x v="933"/>
    <x v="0"/>
    <x v="4"/>
    <x v="0"/>
    <n v="1"/>
    <n v="500"/>
    <x v="3"/>
    <x v="0"/>
  </r>
  <r>
    <x v="934"/>
    <d v="2023-09-09T00:00:00"/>
    <x v="934"/>
    <x v="1"/>
    <x v="0"/>
    <x v="0"/>
    <n v="1"/>
    <n v="50"/>
    <x v="5"/>
    <x v="0"/>
  </r>
  <r>
    <x v="935"/>
    <d v="2023-02-07T00:00:00"/>
    <x v="935"/>
    <x v="0"/>
    <x v="35"/>
    <x v="0"/>
    <n v="4"/>
    <n v="50"/>
    <x v="7"/>
    <x v="1"/>
  </r>
  <r>
    <x v="936"/>
    <d v="2023-10-23T00:00:00"/>
    <x v="936"/>
    <x v="1"/>
    <x v="17"/>
    <x v="0"/>
    <n v="1"/>
    <n v="500"/>
    <x v="3"/>
    <x v="3"/>
  </r>
  <r>
    <x v="937"/>
    <d v="2023-11-19T00:00:00"/>
    <x v="937"/>
    <x v="0"/>
    <x v="19"/>
    <x v="1"/>
    <n v="4"/>
    <n v="50"/>
    <x v="7"/>
    <x v="1"/>
  </r>
  <r>
    <x v="938"/>
    <d v="2023-12-18T00:00:00"/>
    <x v="938"/>
    <x v="1"/>
    <x v="6"/>
    <x v="2"/>
    <n v="1"/>
    <n v="300"/>
    <x v="13"/>
    <x v="1"/>
  </r>
  <r>
    <x v="939"/>
    <d v="2023-01-28T00:00:00"/>
    <x v="939"/>
    <x v="1"/>
    <x v="29"/>
    <x v="2"/>
    <n v="1"/>
    <n v="30"/>
    <x v="2"/>
    <x v="4"/>
  </r>
  <r>
    <x v="940"/>
    <d v="2023-03-19T00:00:00"/>
    <x v="940"/>
    <x v="1"/>
    <x v="35"/>
    <x v="1"/>
    <n v="2"/>
    <n v="25"/>
    <x v="5"/>
    <x v="1"/>
  </r>
  <r>
    <x v="941"/>
    <d v="2023-03-18T00:00:00"/>
    <x v="941"/>
    <x v="0"/>
    <x v="25"/>
    <x v="1"/>
    <n v="3"/>
    <n v="500"/>
    <x v="9"/>
    <x v="1"/>
  </r>
  <r>
    <x v="942"/>
    <d v="2023-10-16T00:00:00"/>
    <x v="942"/>
    <x v="1"/>
    <x v="35"/>
    <x v="1"/>
    <n v="4"/>
    <n v="300"/>
    <x v="14"/>
    <x v="1"/>
  </r>
  <r>
    <x v="943"/>
    <d v="2023-06-05T00:00:00"/>
    <x v="943"/>
    <x v="0"/>
    <x v="24"/>
    <x v="1"/>
    <n v="2"/>
    <n v="25"/>
    <x v="5"/>
    <x v="2"/>
  </r>
  <r>
    <x v="944"/>
    <d v="2023-02-13T00:00:00"/>
    <x v="944"/>
    <x v="0"/>
    <x v="4"/>
    <x v="0"/>
    <n v="1"/>
    <n v="25"/>
    <x v="16"/>
    <x v="0"/>
  </r>
  <r>
    <x v="945"/>
    <d v="2023-05-08T00:00:00"/>
    <x v="945"/>
    <x v="0"/>
    <x v="17"/>
    <x v="2"/>
    <n v="4"/>
    <n v="500"/>
    <x v="11"/>
    <x v="3"/>
  </r>
  <r>
    <x v="946"/>
    <d v="2023-03-02T00:00:00"/>
    <x v="946"/>
    <x v="0"/>
    <x v="2"/>
    <x v="0"/>
    <n v="1"/>
    <n v="300"/>
    <x v="13"/>
    <x v="1"/>
  </r>
  <r>
    <x v="947"/>
    <d v="2023-10-13T00:00:00"/>
    <x v="947"/>
    <x v="1"/>
    <x v="9"/>
    <x v="2"/>
    <n v="3"/>
    <n v="25"/>
    <x v="8"/>
    <x v="4"/>
  </r>
  <r>
    <x v="948"/>
    <d v="2023-08-02T00:00:00"/>
    <x v="948"/>
    <x v="1"/>
    <x v="41"/>
    <x v="2"/>
    <n v="2"/>
    <n v="25"/>
    <x v="5"/>
    <x v="2"/>
  </r>
  <r>
    <x v="949"/>
    <d v="2023-11-07T00:00:00"/>
    <x v="949"/>
    <x v="0"/>
    <x v="32"/>
    <x v="1"/>
    <n v="3"/>
    <n v="300"/>
    <x v="12"/>
    <x v="2"/>
  </r>
  <r>
    <x v="950"/>
    <d v="2023-11-02T00:00:00"/>
    <x v="950"/>
    <x v="0"/>
    <x v="44"/>
    <x v="0"/>
    <n v="2"/>
    <n v="50"/>
    <x v="4"/>
    <x v="0"/>
  </r>
  <r>
    <x v="951"/>
    <d v="2023-11-13T00:00:00"/>
    <x v="951"/>
    <x v="1"/>
    <x v="35"/>
    <x v="1"/>
    <n v="1"/>
    <n v="25"/>
    <x v="16"/>
    <x v="1"/>
  </r>
  <r>
    <x v="952"/>
    <d v="2023-04-26T00:00:00"/>
    <x v="952"/>
    <x v="0"/>
    <x v="5"/>
    <x v="0"/>
    <n v="3"/>
    <n v="30"/>
    <x v="15"/>
    <x v="2"/>
  </r>
  <r>
    <x v="953"/>
    <d v="2023-09-25T00:00:00"/>
    <x v="953"/>
    <x v="1"/>
    <x v="2"/>
    <x v="2"/>
    <n v="3"/>
    <n v="300"/>
    <x v="12"/>
    <x v="1"/>
  </r>
  <r>
    <x v="954"/>
    <d v="2023-07-14T00:00:00"/>
    <x v="954"/>
    <x v="0"/>
    <x v="26"/>
    <x v="1"/>
    <n v="1"/>
    <n v="25"/>
    <x v="16"/>
    <x v="1"/>
  </r>
  <r>
    <x v="955"/>
    <d v="2023-08-19T00:00:00"/>
    <x v="955"/>
    <x v="0"/>
    <x v="4"/>
    <x v="1"/>
    <n v="3"/>
    <n v="500"/>
    <x v="9"/>
    <x v="0"/>
  </r>
  <r>
    <x v="956"/>
    <d v="2023-08-15T00:00:00"/>
    <x v="956"/>
    <x v="1"/>
    <x v="43"/>
    <x v="2"/>
    <n v="4"/>
    <n v="30"/>
    <x v="10"/>
    <x v="1"/>
  </r>
  <r>
    <x v="957"/>
    <d v="2023-06-02T00:00:00"/>
    <x v="957"/>
    <x v="0"/>
    <x v="17"/>
    <x v="2"/>
    <n v="2"/>
    <n v="25"/>
    <x v="5"/>
    <x v="3"/>
  </r>
  <r>
    <x v="958"/>
    <d v="2023-10-29T00:00:00"/>
    <x v="958"/>
    <x v="1"/>
    <x v="13"/>
    <x v="2"/>
    <n v="2"/>
    <n v="30"/>
    <x v="17"/>
    <x v="2"/>
  </r>
  <r>
    <x v="959"/>
    <d v="2023-08-08T00:00:00"/>
    <x v="959"/>
    <x v="0"/>
    <x v="42"/>
    <x v="1"/>
    <n v="2"/>
    <n v="30"/>
    <x v="17"/>
    <x v="1"/>
  </r>
  <r>
    <x v="960"/>
    <d v="2023-06-06T00:00:00"/>
    <x v="960"/>
    <x v="0"/>
    <x v="45"/>
    <x v="0"/>
    <n v="4"/>
    <n v="50"/>
    <x v="7"/>
    <x v="1"/>
  </r>
  <r>
    <x v="961"/>
    <d v="2023-10-19T00:00:00"/>
    <x v="961"/>
    <x v="0"/>
    <x v="24"/>
    <x v="1"/>
    <n v="2"/>
    <n v="30"/>
    <x v="17"/>
    <x v="2"/>
  </r>
  <r>
    <x v="962"/>
    <d v="2023-11-14T00:00:00"/>
    <x v="962"/>
    <x v="1"/>
    <x v="28"/>
    <x v="0"/>
    <n v="1"/>
    <n v="50"/>
    <x v="5"/>
    <x v="1"/>
  </r>
  <r>
    <x v="963"/>
    <d v="2023-01-31T00:00:00"/>
    <x v="963"/>
    <x v="0"/>
    <x v="46"/>
    <x v="1"/>
    <n v="3"/>
    <n v="300"/>
    <x v="12"/>
    <x v="4"/>
  </r>
  <r>
    <x v="964"/>
    <d v="2023-11-09T00:00:00"/>
    <x v="964"/>
    <x v="0"/>
    <x v="11"/>
    <x v="1"/>
    <n v="4"/>
    <n v="50"/>
    <x v="7"/>
    <x v="4"/>
  </r>
  <r>
    <x v="965"/>
    <d v="2023-02-20T00:00:00"/>
    <x v="965"/>
    <x v="0"/>
    <x v="43"/>
    <x v="2"/>
    <n v="2"/>
    <n v="500"/>
    <x v="1"/>
    <x v="1"/>
  </r>
  <r>
    <x v="966"/>
    <d v="2023-04-17T00:00:00"/>
    <x v="966"/>
    <x v="0"/>
    <x v="17"/>
    <x v="0"/>
    <n v="1"/>
    <n v="25"/>
    <x v="16"/>
    <x v="3"/>
  </r>
  <r>
    <x v="967"/>
    <d v="2023-11-17T00:00:00"/>
    <x v="967"/>
    <x v="1"/>
    <x v="27"/>
    <x v="1"/>
    <n v="3"/>
    <n v="300"/>
    <x v="12"/>
    <x v="1"/>
  </r>
  <r>
    <x v="968"/>
    <d v="2023-04-19T00:00:00"/>
    <x v="968"/>
    <x v="1"/>
    <x v="30"/>
    <x v="1"/>
    <n v="3"/>
    <n v="300"/>
    <x v="12"/>
    <x v="2"/>
  </r>
  <r>
    <x v="969"/>
    <d v="2023-05-16T00:00:00"/>
    <x v="969"/>
    <x v="0"/>
    <x v="42"/>
    <x v="2"/>
    <n v="4"/>
    <n v="500"/>
    <x v="11"/>
    <x v="1"/>
  </r>
  <r>
    <x v="970"/>
    <d v="2023-12-05T00:00:00"/>
    <x v="970"/>
    <x v="1"/>
    <x v="15"/>
    <x v="2"/>
    <n v="4"/>
    <n v="50"/>
    <x v="7"/>
    <x v="0"/>
  </r>
  <r>
    <x v="971"/>
    <d v="2023-02-11T00:00:00"/>
    <x v="971"/>
    <x v="0"/>
    <x v="19"/>
    <x v="0"/>
    <n v="4"/>
    <n v="25"/>
    <x v="4"/>
    <x v="1"/>
  </r>
  <r>
    <x v="972"/>
    <d v="2023-03-22T00:00:00"/>
    <x v="972"/>
    <x v="0"/>
    <x v="43"/>
    <x v="1"/>
    <n v="1"/>
    <n v="50"/>
    <x v="5"/>
    <x v="1"/>
  </r>
  <r>
    <x v="973"/>
    <d v="2023-05-03T00:00:00"/>
    <x v="973"/>
    <x v="0"/>
    <x v="16"/>
    <x v="0"/>
    <n v="1"/>
    <n v="30"/>
    <x v="2"/>
    <x v="1"/>
  </r>
  <r>
    <x v="974"/>
    <d v="2023-03-30T00:00:00"/>
    <x v="974"/>
    <x v="1"/>
    <x v="37"/>
    <x v="1"/>
    <n v="4"/>
    <n v="50"/>
    <x v="7"/>
    <x v="1"/>
  </r>
  <r>
    <x v="975"/>
    <d v="2023-10-10T00:00:00"/>
    <x v="975"/>
    <x v="1"/>
    <x v="27"/>
    <x v="0"/>
    <n v="2"/>
    <n v="300"/>
    <x v="6"/>
    <x v="1"/>
  </r>
  <r>
    <x v="976"/>
    <d v="2023-02-08T00:00:00"/>
    <x v="976"/>
    <x v="1"/>
    <x v="10"/>
    <x v="2"/>
    <n v="3"/>
    <n v="25"/>
    <x v="8"/>
    <x v="0"/>
  </r>
  <r>
    <x v="977"/>
    <d v="2023-03-22T00:00:00"/>
    <x v="977"/>
    <x v="1"/>
    <x v="45"/>
    <x v="1"/>
    <n v="3"/>
    <n v="50"/>
    <x v="0"/>
    <x v="1"/>
  </r>
  <r>
    <x v="978"/>
    <d v="2023-01-02T00:00:00"/>
    <x v="978"/>
    <x v="1"/>
    <x v="14"/>
    <x v="0"/>
    <n v="1"/>
    <n v="25"/>
    <x v="16"/>
    <x v="4"/>
  </r>
  <r>
    <x v="979"/>
    <d v="2023-07-29T00:00:00"/>
    <x v="979"/>
    <x v="1"/>
    <x v="33"/>
    <x v="2"/>
    <n v="3"/>
    <n v="25"/>
    <x v="8"/>
    <x v="0"/>
  </r>
  <r>
    <x v="980"/>
    <d v="2023-08-19T00:00:00"/>
    <x v="980"/>
    <x v="1"/>
    <x v="4"/>
    <x v="2"/>
    <n v="2"/>
    <n v="30"/>
    <x v="17"/>
    <x v="0"/>
  </r>
  <r>
    <x v="981"/>
    <d v="2023-12-19T00:00:00"/>
    <x v="981"/>
    <x v="1"/>
    <x v="6"/>
    <x v="0"/>
    <n v="3"/>
    <n v="30"/>
    <x v="15"/>
    <x v="1"/>
  </r>
  <r>
    <x v="982"/>
    <d v="2023-11-01T00:00:00"/>
    <x v="982"/>
    <x v="1"/>
    <x v="38"/>
    <x v="1"/>
    <n v="1"/>
    <n v="300"/>
    <x v="13"/>
    <x v="0"/>
  </r>
  <r>
    <x v="983"/>
    <d v="2023-08-29T00:00:00"/>
    <x v="983"/>
    <x v="0"/>
    <x v="37"/>
    <x v="1"/>
    <n v="1"/>
    <n v="500"/>
    <x v="3"/>
    <x v="1"/>
  </r>
  <r>
    <x v="984"/>
    <d v="2023-05-30T00:00:00"/>
    <x v="984"/>
    <x v="1"/>
    <x v="14"/>
    <x v="2"/>
    <n v="2"/>
    <n v="25"/>
    <x v="5"/>
    <x v="4"/>
  </r>
  <r>
    <x v="985"/>
    <d v="2023-01-17T00:00:00"/>
    <x v="985"/>
    <x v="1"/>
    <x v="19"/>
    <x v="1"/>
    <n v="2"/>
    <n v="500"/>
    <x v="1"/>
    <x v="1"/>
  </r>
  <r>
    <x v="986"/>
    <d v="2023-04-29T00:00:00"/>
    <x v="986"/>
    <x v="1"/>
    <x v="4"/>
    <x v="1"/>
    <n v="3"/>
    <n v="300"/>
    <x v="12"/>
    <x v="0"/>
  </r>
  <r>
    <x v="987"/>
    <d v="2023-05-28T00:00:00"/>
    <x v="987"/>
    <x v="1"/>
    <x v="7"/>
    <x v="1"/>
    <n v="3"/>
    <n v="25"/>
    <x v="8"/>
    <x v="3"/>
  </r>
  <r>
    <x v="988"/>
    <d v="2023-12-28T00:00:00"/>
    <x v="988"/>
    <x v="1"/>
    <x v="24"/>
    <x v="2"/>
    <n v="1"/>
    <n v="25"/>
    <x v="16"/>
    <x v="2"/>
  </r>
  <r>
    <x v="989"/>
    <d v="2023-05-25T00:00:00"/>
    <x v="989"/>
    <x v="1"/>
    <x v="26"/>
    <x v="0"/>
    <n v="2"/>
    <n v="500"/>
    <x v="1"/>
    <x v="1"/>
  </r>
  <r>
    <x v="990"/>
    <d v="2023-12-26T00:00:00"/>
    <x v="990"/>
    <x v="1"/>
    <x v="0"/>
    <x v="1"/>
    <n v="2"/>
    <n v="50"/>
    <x v="4"/>
    <x v="0"/>
  </r>
  <r>
    <x v="991"/>
    <d v="2023-08-21T00:00:00"/>
    <x v="991"/>
    <x v="1"/>
    <x v="35"/>
    <x v="2"/>
    <n v="2"/>
    <n v="30"/>
    <x v="17"/>
    <x v="1"/>
  </r>
  <r>
    <x v="992"/>
    <d v="2023-02-06T00:00:00"/>
    <x v="992"/>
    <x v="1"/>
    <x v="27"/>
    <x v="2"/>
    <n v="3"/>
    <n v="50"/>
    <x v="0"/>
    <x v="1"/>
  </r>
  <r>
    <x v="993"/>
    <d v="2023-12-18T00:00:00"/>
    <x v="993"/>
    <x v="1"/>
    <x v="25"/>
    <x v="0"/>
    <n v="2"/>
    <n v="500"/>
    <x v="1"/>
    <x v="1"/>
  </r>
  <r>
    <x v="994"/>
    <d v="2023-04-30T00:00:00"/>
    <x v="994"/>
    <x v="1"/>
    <x v="41"/>
    <x v="1"/>
    <n v="1"/>
    <n v="30"/>
    <x v="2"/>
    <x v="2"/>
  </r>
  <r>
    <x v="995"/>
    <d v="2023-05-16T00:00:00"/>
    <x v="995"/>
    <x v="0"/>
    <x v="17"/>
    <x v="1"/>
    <n v="1"/>
    <n v="50"/>
    <x v="5"/>
    <x v="3"/>
  </r>
  <r>
    <x v="996"/>
    <d v="2023-11-17T00:00:00"/>
    <x v="996"/>
    <x v="0"/>
    <x v="8"/>
    <x v="0"/>
    <n v="3"/>
    <n v="30"/>
    <x v="15"/>
    <x v="1"/>
  </r>
  <r>
    <x v="997"/>
    <d v="2023-10-29T00:00:00"/>
    <x v="997"/>
    <x v="1"/>
    <x v="9"/>
    <x v="0"/>
    <n v="4"/>
    <n v="25"/>
    <x v="4"/>
    <x v="4"/>
  </r>
  <r>
    <x v="998"/>
    <d v="2023-12-05T00:00:00"/>
    <x v="998"/>
    <x v="1"/>
    <x v="32"/>
    <x v="2"/>
    <n v="3"/>
    <n v="50"/>
    <x v="0"/>
    <x v="2"/>
  </r>
  <r>
    <x v="999"/>
    <d v="2023-04-12T00:00:00"/>
    <x v="999"/>
    <x v="0"/>
    <x v="16"/>
    <x v="2"/>
    <n v="4"/>
    <n v="30"/>
    <x v="1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E4A0C4-B58F-42C0-9799-10C12040D30A}" name="PivotTable19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E2:AF11" firstHeaderRow="1" firstDataRow="1" firstDataCol="1"/>
  <pivotFields count="10">
    <pivotField showAll="0"/>
    <pivotField numFmtId="14" showAll="0"/>
    <pivotField showAll="0"/>
    <pivotField axis="axisRow" showAll="0">
      <items count="3">
        <item x="1"/>
        <item x="0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</pivotFields>
  <rowFields count="2">
    <field x="3"/>
    <field x="5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Items count="1">
    <i/>
  </colItems>
  <dataFields count="1">
    <dataField name="Sum of Total Amount" fld="8" baseField="0" baseItem="0"/>
  </dataFields>
  <chartFormats count="7"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0"/>
          </reference>
        </references>
      </pivotArea>
    </chartFormat>
    <chartFormat chart="2" format="10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1"/>
          </reference>
        </references>
      </pivotArea>
    </chartFormat>
    <chartFormat chart="2" format="1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2"/>
          </reference>
        </references>
      </pivotArea>
    </chartFormat>
    <chartFormat chart="2" format="12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0"/>
          </reference>
        </references>
      </pivotArea>
    </chartFormat>
    <chartFormat chart="2" format="13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1"/>
          </reference>
        </references>
      </pivotArea>
    </chartFormat>
    <chartFormat chart="2" format="14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4000000}" name="PivotTable1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S2:T20" firstHeaderRow="1" firstDataRow="1" firstDataCol="1"/>
  <pivotFields count="11"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name="MONTH" axis="axisRow" showAll="0" defaultSubtotal="0">
      <items count="6">
        <item sd="0" x="0"/>
        <item x="1"/>
        <item x="2"/>
        <item x="3"/>
        <item sd="0" x="4"/>
        <item sd="0" x="5"/>
      </items>
    </pivotField>
    <pivotField axis="axisRow" showAll="0" defaultSubtotal="0">
      <items count="4">
        <item sd="0" x="0"/>
        <item x="1"/>
        <item x="2"/>
        <item sd="0" x="3"/>
      </items>
    </pivotField>
  </pivotFields>
  <rowFields count="3">
    <field x="10"/>
    <field x="9"/>
    <field x="1"/>
  </rowFields>
  <rowItems count="18">
    <i>
      <x v="1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>
      <x v="2"/>
    </i>
    <i r="1">
      <x v="1"/>
    </i>
    <i r="2">
      <x v="1"/>
    </i>
    <i t="grand">
      <x/>
    </i>
  </rowItems>
  <colItems count="1">
    <i/>
  </colItems>
  <dataFields count="1">
    <dataField name="Sum of Total Amount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PivotTable1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P23:Q27" firstHeaderRow="1" firstDataRow="1" firstDataCol="1"/>
  <pivotFields count="11">
    <pivotField dataField="1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Sum of Transaction ID" fld="0" baseField="0" baseItem="0"/>
  </dataFields>
  <chartFormats count="4"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67C2C7-A9F2-4427-9521-F410419417EE}" name="PivotTable4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V17:W1018" firstHeaderRow="1" firstDataRow="1" firstDataCol="1"/>
  <pivotFields count="10">
    <pivotField axis="axisRow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10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 t="grand">
      <x/>
    </i>
  </rowItems>
  <colItems count="1">
    <i/>
  </colItems>
  <dataFields count="1">
    <dataField name="Average of Total Amount" fld="8" subtotal="average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10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P16:Q20" firstHeaderRow="1" firstDataRow="1" firstDataCol="1"/>
  <pivotFields count="11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Average of Price per Unit" fld="7" subtotal="average" baseField="5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B68116-6CFE-45F5-A269-D827403E8B76}" name="PivotTable3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V11:W14" firstHeaderRow="1" firstDataRow="1" firstDataCol="1"/>
  <pivotFields count="10">
    <pivotField showAll="0"/>
    <pivotField numFmtId="14" showAll="0"/>
    <pivotField showAll="0"/>
    <pivotField axis="axisRow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Total Amount" fld="8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84401E-272A-4D38-A451-E713F447F25F}" name="PivotTable18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B16:AC1017" firstHeaderRow="1" firstDataRow="1" firstDataCol="1"/>
  <pivotFields count="10">
    <pivotField axis="axisRow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umFmtId="14"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10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 t="grand">
      <x/>
    </i>
  </rowItems>
  <colItems count="1">
    <i/>
  </colItems>
  <dataFields count="1">
    <dataField name="Average of Quantity" fld="6" subtotal="average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8000000}" name="PivotTable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P2:Q6" firstHeaderRow="1" firstDataRow="1" firstDataCol="1"/>
  <pivotFields count="11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Sum of Total Amount" fld="8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CC5246-90C6-414B-9ABA-8BE90F1AE67B}" name="PivotTable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V2:W8" firstHeaderRow="1" firstDataRow="1" firstDataCol="1"/>
  <pivotFields count="10">
    <pivotField showAll="0"/>
    <pivotField numFmtId="14" showAll="0"/>
    <pivotField showAll="0"/>
    <pivotField showAll="0"/>
    <pivotField showAll="0">
      <items count="48">
        <item x="18"/>
        <item x="14"/>
        <item x="29"/>
        <item x="34"/>
        <item x="11"/>
        <item x="9"/>
        <item x="46"/>
        <item x="36"/>
        <item x="1"/>
        <item x="15"/>
        <item x="20"/>
        <item x="38"/>
        <item x="4"/>
        <item x="33"/>
        <item x="40"/>
        <item x="44"/>
        <item x="0"/>
        <item x="10"/>
        <item x="32"/>
        <item x="3"/>
        <item x="21"/>
        <item x="23"/>
        <item x="30"/>
        <item x="41"/>
        <item x="13"/>
        <item x="22"/>
        <item x="24"/>
        <item x="5"/>
        <item x="6"/>
        <item x="16"/>
        <item x="27"/>
        <item x="19"/>
        <item x="2"/>
        <item x="25"/>
        <item x="8"/>
        <item x="45"/>
        <item x="31"/>
        <item x="28"/>
        <item x="37"/>
        <item x="35"/>
        <item x="26"/>
        <item x="42"/>
        <item x="43"/>
        <item x="39"/>
        <item x="17"/>
        <item x="7"/>
        <item x="12"/>
        <item t="default"/>
      </items>
    </pivotField>
    <pivotField showAll="0"/>
    <pivotField showAll="0"/>
    <pivotField showAll="0"/>
    <pivotField dataField="1" showAll="0">
      <items count="19">
        <item x="16"/>
        <item x="2"/>
        <item x="5"/>
        <item x="17"/>
        <item x="8"/>
        <item x="15"/>
        <item x="4"/>
        <item x="10"/>
        <item x="0"/>
        <item x="7"/>
        <item x="13"/>
        <item x="3"/>
        <item x="6"/>
        <item x="12"/>
        <item x="1"/>
        <item x="14"/>
        <item x="9"/>
        <item x="11"/>
        <item t="default"/>
      </items>
    </pivotField>
    <pivotField axis="axisRow" showAll="0" sortType="descending">
      <items count="6">
        <item x="4"/>
        <item x="0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9"/>
  </rowFields>
  <rowItems count="6">
    <i>
      <x v="3"/>
    </i>
    <i>
      <x v="1"/>
    </i>
    <i>
      <x v="2"/>
    </i>
    <i>
      <x/>
    </i>
    <i>
      <x v="4"/>
    </i>
    <i t="grand">
      <x/>
    </i>
  </rowItems>
  <colItems count="1">
    <i/>
  </colItems>
  <dataFields count="1">
    <dataField name="Sum of Total Amount" fld="8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6000000}" name="PivotTable17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S36:T42" firstHeaderRow="1" firstDataRow="1" firstDataCol="1"/>
  <pivotFields count="10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0"/>
        <item x="2"/>
        <item x="1"/>
        <item x="3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ustomer ID" fld="2" subtotal="count" baseField="0" baseItem="0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1C510E-0C91-4540-9FDE-2BA8E8AA34AB}" name="PivotTable15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B9:AC13" firstHeaderRow="1" firstDataRow="1" firstDataCol="1"/>
  <pivotFields count="10">
    <pivotField showAll="0"/>
    <pivotField numFmtId="14"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</pivotFields>
  <rowFields count="1">
    <field x="5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Sum of Quantity" fld="6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3000000}" name="PivotTable1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P30:Q45" firstHeaderRow="1" firstDataRow="1" firstDataCol="1"/>
  <pivotFields count="11"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name="MONTH" showAll="0">
      <items count="7">
        <item sd="0" x="0"/>
        <item x="1"/>
        <item sd="0" x="2"/>
        <item sd="0" x="3"/>
        <item sd="0" x="4"/>
        <item sd="0" x="5"/>
        <item t="default"/>
      </items>
    </pivotField>
    <pivotField name="MONTHS" axis="axisRow" showAll="0" sortType="descending">
      <items count="5">
        <item sd="0" x="0"/>
        <item x="1"/>
        <item sd="0" x="2"/>
        <item sd="0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10"/>
    <field x="1"/>
  </rowFields>
  <rowItems count="15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t="grand">
      <x/>
    </i>
  </rowItems>
  <colItems count="1">
    <i/>
  </colItems>
  <dataFields count="1">
    <dataField name="Sum of Total Amount" fld="8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24FF71-F9A1-4DD2-882F-02970C8A9DDA}" name="PivotTable6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B2:AC6" firstHeaderRow="1" firstDataRow="1" firstDataCol="1"/>
  <pivotFields count="10">
    <pivotField showAll="0"/>
    <pivotField numFmtId="14"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</pivotFields>
  <rowFields count="1">
    <field x="5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Sum of Price per Unit" fld="7" baseField="0" baseItem="0"/>
  </dataFields>
  <chartFormats count="4"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F2A62B-AE35-40CE-9D3F-4DF0F988CB8F}" name="PivotTable2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H2:AI6" firstHeaderRow="1" firstDataRow="1" firstDataCol="1"/>
  <pivotFields count="10">
    <pivotField showAll="0"/>
    <pivotField numFmtId="14"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</pivotFields>
  <rowFields count="1">
    <field x="5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Sum of Total Amount" fld="8" baseField="0" baseItem="0" numFmtId="10"/>
  </dataFields>
  <formats count="1">
    <format dxfId="0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7000000}" name="PivotTable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M2:N1003" firstHeaderRow="1" firstDataRow="1" firstDataCol="1"/>
  <pivotFields count="11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 sortType="descending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showAll="0">
      <items count="19">
        <item x="16"/>
        <item x="2"/>
        <item x="5"/>
        <item x="17"/>
        <item x="8"/>
        <item x="15"/>
        <item x="4"/>
        <item x="10"/>
        <item x="0"/>
        <item x="7"/>
        <item x="13"/>
        <item x="3"/>
        <item x="6"/>
        <item x="12"/>
        <item x="1"/>
        <item x="14"/>
        <item x="9"/>
        <item x="11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1001">
    <i>
      <x v="789"/>
    </i>
    <i>
      <x v="946"/>
    </i>
    <i>
      <x v="875"/>
    </i>
    <i>
      <x v="700"/>
    </i>
    <i>
      <x v="773"/>
    </i>
    <i>
      <x v="731"/>
    </i>
    <i>
      <x v="832"/>
    </i>
    <i>
      <x v="735"/>
    </i>
    <i>
      <x v="927"/>
    </i>
    <i>
      <x v="742"/>
    </i>
    <i>
      <x v="970"/>
    </i>
    <i>
      <x v="743"/>
    </i>
    <i>
      <x v="808"/>
    </i>
    <i>
      <x v="626"/>
    </i>
    <i>
      <x v="572"/>
    </i>
    <i>
      <x v="547"/>
    </i>
    <i>
      <x v="342"/>
    </i>
    <i>
      <x v="592"/>
    </i>
    <i>
      <x v="412"/>
    </i>
    <i>
      <x v="664"/>
    </i>
    <i>
      <x v="416"/>
    </i>
    <i>
      <x v="561"/>
    </i>
    <i>
      <x v="420"/>
    </i>
    <i>
      <x v="577"/>
    </i>
    <i>
      <x v="447"/>
    </i>
    <i>
      <x v="595"/>
    </i>
    <i>
      <x v="476"/>
    </i>
    <i>
      <x v="634"/>
    </i>
    <i>
      <x v="480"/>
    </i>
    <i>
      <x v="487"/>
    </i>
    <i>
      <x v="503"/>
    </i>
    <i>
      <x v="257"/>
    </i>
    <i>
      <x v="152"/>
    </i>
    <i>
      <x v="124"/>
    </i>
    <i>
      <x v="14"/>
    </i>
    <i>
      <x v="157"/>
    </i>
    <i>
      <x v="64"/>
    </i>
    <i>
      <x v="281"/>
    </i>
    <i>
      <x v="71"/>
    </i>
    <i>
      <x v="139"/>
    </i>
    <i>
      <x v="73"/>
    </i>
    <i>
      <x v="155"/>
    </i>
    <i>
      <x v="88"/>
    </i>
    <i>
      <x v="253"/>
    </i>
    <i>
      <x v="92"/>
    </i>
    <i>
      <x v="269"/>
    </i>
    <i>
      <x v="109"/>
    </i>
    <i>
      <x v="118"/>
    </i>
    <i>
      <x v="166"/>
    </i>
    <i>
      <x v="956"/>
    </i>
    <i>
      <x v="869"/>
    </i>
    <i>
      <x v="843"/>
    </i>
    <i>
      <x v="710"/>
    </i>
    <i>
      <x v="677"/>
    </i>
    <i>
      <x v="711"/>
    </i>
    <i>
      <x v="805"/>
    </i>
    <i>
      <x v="720"/>
    </i>
    <i>
      <x v="859"/>
    </i>
    <i>
      <x v="673"/>
    </i>
    <i>
      <x v="942"/>
    </i>
    <i>
      <x v="676"/>
    </i>
    <i>
      <x v="693"/>
    </i>
    <i>
      <x v="636"/>
    </i>
    <i>
      <x v="580"/>
    </i>
    <i>
      <x v="522"/>
    </i>
    <i>
      <x v="369"/>
    </i>
    <i>
      <x v="608"/>
    </i>
    <i>
      <x v="372"/>
    </i>
    <i>
      <x v="507"/>
    </i>
    <i>
      <x v="385"/>
    </i>
    <i>
      <x v="533"/>
    </i>
    <i>
      <x v="421"/>
    </i>
    <i>
      <x v="356"/>
    </i>
    <i>
      <x v="452"/>
    </i>
    <i>
      <x v="611"/>
    </i>
    <i>
      <x v="463"/>
    </i>
    <i>
      <x v="647"/>
    </i>
    <i>
      <x v="474"/>
    </i>
    <i>
      <x v="506"/>
    </i>
    <i>
      <x v="213"/>
    </i>
    <i>
      <x v="193"/>
    </i>
    <i>
      <x v="280"/>
    </i>
    <i>
      <x v="46"/>
    </i>
    <i>
      <x v="211"/>
    </i>
    <i>
      <x v="53"/>
    </i>
    <i>
      <x v="239"/>
    </i>
    <i>
      <x v="77"/>
    </i>
    <i>
      <x v="169"/>
    </i>
    <i>
      <x v="111"/>
    </i>
    <i>
      <x v="199"/>
    </i>
    <i>
      <x v="112"/>
    </i>
    <i>
      <x v="212"/>
    </i>
    <i>
      <x v="115"/>
    </i>
    <i>
      <x v="215"/>
    </i>
    <i>
      <x v="144"/>
    </i>
    <i>
      <x v="15"/>
    </i>
    <i>
      <x v="12"/>
    </i>
    <i>
      <x v="313"/>
    </i>
    <i>
      <x v="164"/>
    </i>
    <i>
      <x v="862"/>
    </i>
    <i>
      <x v="943"/>
    </i>
    <i>
      <x v="908"/>
    </i>
    <i>
      <x v="726"/>
    </i>
    <i>
      <x v="756"/>
    </i>
    <i>
      <x v="669"/>
    </i>
    <i>
      <x v="757"/>
    </i>
    <i>
      <x v="839"/>
    </i>
    <i>
      <x v="928"/>
    </i>
    <i>
      <x v="729"/>
    </i>
    <i>
      <x v="716"/>
    </i>
    <i>
      <x v="847"/>
    </i>
    <i>
      <x v="682"/>
    </i>
    <i>
      <x v="800"/>
    </i>
    <i>
      <x v="828"/>
    </i>
    <i>
      <x v="553"/>
    </i>
    <i>
      <x v="481"/>
    </i>
    <i>
      <x v="614"/>
    </i>
    <i>
      <x v="405"/>
    </i>
    <i>
      <x v="484"/>
    </i>
    <i>
      <x v="368"/>
    </i>
    <i>
      <x v="587"/>
    </i>
    <i>
      <x v="424"/>
    </i>
    <i>
      <x v="663"/>
    </i>
    <i>
      <x v="431"/>
    </i>
    <i>
      <x v="482"/>
    </i>
    <i>
      <x v="437"/>
    </i>
    <i>
      <x v="361"/>
    </i>
    <i>
      <x v="441"/>
    </i>
    <i>
      <x v="559"/>
    </i>
    <i>
      <x v="340"/>
    </i>
    <i>
      <x v="597"/>
    </i>
    <i>
      <x v="459"/>
    </i>
    <i>
      <x v="648"/>
    </i>
    <i>
      <x v="462"/>
    </i>
    <i>
      <x v="479"/>
    </i>
    <i>
      <x v="524"/>
    </i>
    <i>
      <x v="308"/>
    </i>
    <i>
      <x v="292"/>
    </i>
    <i>
      <x v="333"/>
    </i>
    <i>
      <x v="57"/>
    </i>
    <i>
      <x v="298"/>
    </i>
    <i>
      <x v="66"/>
    </i>
    <i>
      <x v="107"/>
    </i>
    <i>
      <x v="202"/>
    </i>
    <i>
      <x v="45"/>
    </i>
    <i>
      <x v="142"/>
    </i>
    <i>
      <x v="296"/>
    </i>
    <i>
      <x v="30"/>
    </i>
    <i>
      <x v="181"/>
    </i>
    <i>
      <x v="98"/>
    </i>
    <i>
      <x v="320"/>
    </i>
    <i>
      <x v="165"/>
    </i>
    <i>
      <x v="332"/>
    </i>
    <i>
      <x v="853"/>
    </i>
    <i>
      <x v="966"/>
    </i>
    <i>
      <x v="880"/>
    </i>
    <i>
      <x v="816"/>
    </i>
    <i>
      <x v="850"/>
    </i>
    <i>
      <x v="990"/>
    </i>
    <i>
      <x v="684"/>
    </i>
    <i>
      <x v="994"/>
    </i>
    <i>
      <x v="779"/>
    </i>
    <i>
      <x v="683"/>
    </i>
    <i>
      <x v="986"/>
    </i>
    <i>
      <x v="732"/>
    </i>
    <i>
      <x v="709"/>
    </i>
    <i>
      <x v="393"/>
    </i>
    <i>
      <x v="352"/>
    </i>
    <i>
      <x v="662"/>
    </i>
    <i>
      <x v="453"/>
    </i>
    <i>
      <x v="600"/>
    </i>
    <i>
      <x v="461"/>
    </i>
    <i>
      <x v="395"/>
    </i>
    <i>
      <x v="470"/>
    </i>
    <i>
      <x v="432"/>
    </i>
    <i>
      <x v="418"/>
    </i>
    <i>
      <x v="589"/>
    </i>
    <i>
      <x v="404"/>
    </i>
    <i>
      <x v="605"/>
    </i>
    <i>
      <x v="346"/>
    </i>
    <i>
      <x v="621"/>
    </i>
    <i>
      <x v="382"/>
    </i>
    <i>
      <x v="660"/>
    </i>
    <i>
      <x v="534"/>
    </i>
    <i>
      <x v="297"/>
    </i>
    <i>
      <x v="1"/>
    </i>
    <i>
      <x v="235"/>
    </i>
    <i>
      <x v="104"/>
    </i>
    <i>
      <x v="274"/>
    </i>
    <i>
      <x v="117"/>
    </i>
    <i>
      <x v="93"/>
    </i>
    <i>
      <x v="137"/>
    </i>
    <i>
      <x v="237"/>
    </i>
    <i>
      <x v="153"/>
    </i>
    <i>
      <x v="256"/>
    </i>
    <i>
      <x v="161"/>
    </i>
    <i>
      <x v="275"/>
    </i>
    <i>
      <x v="48"/>
    </i>
    <i>
      <x v="299"/>
    </i>
    <i>
      <x v="25"/>
    </i>
    <i>
      <x v="203"/>
    </i>
    <i>
      <x v="96"/>
    </i>
    <i>
      <x v="950"/>
    </i>
    <i>
      <x v="923"/>
    </i>
    <i>
      <x v="968"/>
    </i>
    <i>
      <x v="722"/>
    </i>
    <i>
      <x v="766"/>
    </i>
    <i>
      <x v="708"/>
    </i>
    <i>
      <x v="782"/>
    </i>
    <i>
      <x v="727"/>
    </i>
    <i>
      <x v="911"/>
    </i>
    <i>
      <x v="806"/>
    </i>
    <i>
      <x v="690"/>
    </i>
    <i>
      <x v="678"/>
    </i>
    <i>
      <x v="680"/>
    </i>
    <i>
      <x v="987"/>
    </i>
    <i>
      <x v="954"/>
    </i>
    <i>
      <x v="886"/>
    </i>
    <i>
      <x v="964"/>
    </i>
    <i>
      <x v="891"/>
    </i>
    <i>
      <x v="969"/>
    </i>
    <i>
      <x v="827"/>
    </i>
    <i>
      <x v="788"/>
    </i>
    <i>
      <x v="624"/>
    </i>
    <i>
      <x v="334"/>
    </i>
    <i>
      <x v="491"/>
    </i>
    <i>
      <x v="550"/>
    </i>
    <i>
      <x v="509"/>
    </i>
    <i>
      <x v="409"/>
    </i>
    <i>
      <x v="457"/>
    </i>
    <i>
      <x v="472"/>
    </i>
    <i>
      <x v="590"/>
    </i>
    <i>
      <x v="435"/>
    </i>
    <i>
      <x v="417"/>
    </i>
    <i>
      <x v="488"/>
    </i>
    <i>
      <x v="515"/>
    </i>
    <i>
      <x v="567"/>
    </i>
    <i>
      <x v="635"/>
    </i>
    <i>
      <x v="582"/>
    </i>
    <i>
      <x v="430"/>
    </i>
    <i>
      <x v="407"/>
    </i>
    <i>
      <x v="540"/>
    </i>
    <i>
      <x v="551"/>
    </i>
    <i>
      <x v="243"/>
    </i>
    <i>
      <x v="196"/>
    </i>
    <i>
      <x v="265"/>
    </i>
    <i>
      <x v="133"/>
    </i>
    <i>
      <x v="29"/>
    </i>
    <i>
      <x v="154"/>
    </i>
    <i>
      <x v="19"/>
    </i>
    <i>
      <x v="34"/>
    </i>
    <i>
      <x v="183"/>
    </i>
    <i>
      <x v="47"/>
    </i>
    <i>
      <x v="198"/>
    </i>
    <i>
      <x v="110"/>
    </i>
    <i>
      <x v="323"/>
    </i>
    <i>
      <x v="35"/>
    </i>
    <i>
      <x v="248"/>
    </i>
    <i>
      <x v="171"/>
    </i>
    <i>
      <x v="264"/>
    </i>
    <i>
      <x v="180"/>
    </i>
    <i>
      <x v="295"/>
    </i>
    <i>
      <x v="55"/>
    </i>
    <i>
      <x v="41"/>
    </i>
    <i>
      <x v="976"/>
    </i>
    <i>
      <x v="838"/>
    </i>
    <i>
      <x v="842"/>
    </i>
    <i>
      <x v="702"/>
    </i>
    <i>
      <x v="899"/>
    </i>
    <i>
      <x v="398"/>
    </i>
    <i>
      <x v="440"/>
    </i>
    <i>
      <x v="594"/>
    </i>
    <i>
      <x v="348"/>
    </i>
    <i>
      <x v="380"/>
    </i>
    <i>
      <x v="496"/>
    </i>
    <i>
      <x v="649"/>
    </i>
    <i>
      <x v="403"/>
    </i>
    <i>
      <x v="392"/>
    </i>
    <i>
      <x v="402"/>
    </i>
    <i>
      <x v="610"/>
    </i>
    <i>
      <x v="464"/>
    </i>
    <i>
      <x v="637"/>
    </i>
    <i>
      <x v="508"/>
    </i>
    <i>
      <x v="443"/>
    </i>
    <i>
      <x v="386"/>
    </i>
    <i>
      <x v="373"/>
    </i>
    <i>
      <x v="543"/>
    </i>
    <i>
      <x v="290"/>
    </i>
    <i>
      <x v="95"/>
    </i>
    <i>
      <x v="129"/>
    </i>
    <i>
      <x v="233"/>
    </i>
    <i>
      <x v="131"/>
    </i>
    <i>
      <x v="158"/>
    </i>
    <i>
      <x v="291"/>
    </i>
    <i>
      <x v="101"/>
    </i>
    <i>
      <x v="302"/>
    </i>
    <i>
      <x v="8"/>
    </i>
    <i>
      <x v="136"/>
    </i>
    <i>
      <x v="221"/>
    </i>
    <i>
      <x v="697"/>
    </i>
    <i>
      <x v="864"/>
    </i>
    <i>
      <x v="717"/>
    </i>
    <i>
      <x v="714"/>
    </i>
    <i>
      <x v="721"/>
    </i>
    <i>
      <x v="760"/>
    </i>
    <i>
      <x v="984"/>
    </i>
    <i>
      <x v="934"/>
    </i>
    <i>
      <x v="707"/>
    </i>
    <i>
      <x v="937"/>
    </i>
    <i>
      <x v="784"/>
    </i>
    <i>
      <x v="761"/>
    </i>
    <i>
      <x v="867"/>
    </i>
    <i>
      <x v="814"/>
    </i>
    <i>
      <x v="914"/>
    </i>
    <i>
      <x v="883"/>
    </i>
    <i>
      <x v="781"/>
    </i>
    <i>
      <x v="845"/>
    </i>
    <i>
      <x v="904"/>
    </i>
    <i>
      <x v="818"/>
    </i>
    <i>
      <x v="541"/>
    </i>
    <i>
      <x v="337"/>
    </i>
    <i>
      <x v="364"/>
    </i>
    <i>
      <x v="570"/>
    </i>
    <i>
      <x v="355"/>
    </i>
    <i>
      <x v="353"/>
    </i>
    <i>
      <x v="539"/>
    </i>
    <i>
      <x v="531"/>
    </i>
    <i>
      <x v="638"/>
    </i>
    <i>
      <x v="394"/>
    </i>
    <i>
      <x v="384"/>
    </i>
    <i>
      <x v="612"/>
    </i>
    <i>
      <x v="655"/>
    </i>
    <i>
      <x v="408"/>
    </i>
    <i>
      <x v="537"/>
    </i>
    <i>
      <x v="667"/>
    </i>
    <i>
      <x v="105"/>
    </i>
    <i>
      <x v="319"/>
    </i>
    <i>
      <x v="90"/>
    </i>
    <i>
      <x v="283"/>
    </i>
    <i>
      <x v="322"/>
    </i>
    <i>
      <x v="238"/>
    </i>
    <i>
      <x v="27"/>
    </i>
    <i>
      <x v="254"/>
    </i>
    <i>
      <x v="130"/>
    </i>
    <i>
      <x v="220"/>
    </i>
    <i>
      <x v="20"/>
    </i>
    <i>
      <x v="128"/>
    </i>
    <i>
      <x v="87"/>
    </i>
    <i>
      <x v="279"/>
    </i>
    <i>
      <x v="3"/>
    </i>
    <i>
      <x v="821"/>
    </i>
    <i>
      <x v="865"/>
    </i>
    <i>
      <x v="698"/>
    </i>
    <i>
      <x v="905"/>
    </i>
    <i>
      <x v="687"/>
    </i>
    <i>
      <x v="909"/>
    </i>
    <i>
      <x v="983"/>
    </i>
    <i>
      <x v="794"/>
    </i>
    <i>
      <x v="725"/>
    </i>
    <i>
      <x v="795"/>
    </i>
    <i>
      <x v="868"/>
    </i>
    <i>
      <x v="925"/>
    </i>
    <i>
      <x v="783"/>
    </i>
    <i>
      <x v="852"/>
    </i>
    <i>
      <x v="881"/>
    </i>
    <i>
      <x v="939"/>
    </i>
    <i>
      <x v="826"/>
    </i>
    <i>
      <x v="947"/>
    </i>
    <i>
      <x v="741"/>
    </i>
    <i>
      <x v="674"/>
    </i>
    <i>
      <x v="568"/>
    </i>
    <i>
      <x v="596"/>
    </i>
    <i>
      <x v="378"/>
    </i>
    <i>
      <x v="555"/>
    </i>
    <i>
      <x v="365"/>
    </i>
    <i>
      <x v="445"/>
    </i>
    <i>
      <x v="625"/>
    </i>
    <i>
      <x v="602"/>
    </i>
    <i>
      <x v="358"/>
    </i>
    <i>
      <x v="641"/>
    </i>
    <i>
      <x v="401"/>
    </i>
    <i>
      <x v="523"/>
    </i>
    <i>
      <x v="514"/>
    </i>
    <i>
      <x v="252"/>
    </i>
    <i>
      <x v="67"/>
    </i>
    <i>
      <x v="78"/>
    </i>
    <i>
      <x v="168"/>
    </i>
    <i>
      <x v="42"/>
    </i>
    <i>
      <x v="174"/>
    </i>
    <i>
      <x v="51"/>
    </i>
    <i>
      <x v="179"/>
    </i>
    <i>
      <x v="147"/>
    </i>
    <i>
      <x v="240"/>
    </i>
    <i>
      <x v="69"/>
    </i>
    <i>
      <x v="23"/>
    </i>
    <i>
      <x v="270"/>
    </i>
    <i>
      <x v="903"/>
    </i>
    <i>
      <x v="723"/>
    </i>
    <i>
      <x v="740"/>
    </i>
    <i>
      <x v="860"/>
    </i>
    <i>
      <x v="971"/>
    </i>
    <i>
      <x v="917"/>
    </i>
    <i>
      <x v="686"/>
    </i>
    <i>
      <x v="696"/>
    </i>
    <i>
      <x v="930"/>
    </i>
    <i>
      <x v="835"/>
    </i>
    <i>
      <x v="936"/>
    </i>
    <i>
      <x v="801"/>
    </i>
    <i>
      <x v="975"/>
    </i>
    <i>
      <x v="961"/>
    </i>
    <i>
      <x v="938"/>
    </i>
    <i>
      <x v="817"/>
    </i>
    <i>
      <x v="785"/>
    </i>
    <i>
      <x v="965"/>
    </i>
    <i>
      <x v="765"/>
    </i>
    <i>
      <x v="807"/>
    </i>
    <i>
      <x v="820"/>
    </i>
    <i>
      <x v="833"/>
    </i>
    <i>
      <x v="341"/>
    </i>
    <i>
      <x v="411"/>
    </i>
    <i>
      <x v="428"/>
    </i>
    <i>
      <x v="377"/>
    </i>
    <i>
      <x v="628"/>
    </i>
    <i>
      <x v="546"/>
    </i>
    <i>
      <x v="584"/>
    </i>
    <i>
      <x v="400"/>
    </i>
    <i>
      <x v="510"/>
    </i>
    <i>
      <x v="449"/>
    </i>
    <i>
      <x v="433"/>
    </i>
    <i>
      <x v="569"/>
    </i>
    <i>
      <x v="639"/>
    </i>
    <i>
      <x v="494"/>
    </i>
    <i>
      <x v="354"/>
    </i>
    <i>
      <x v="604"/>
    </i>
    <i>
      <x v="208"/>
    </i>
    <i>
      <x v="186"/>
    </i>
    <i>
      <x v="74"/>
    </i>
    <i>
      <x v="259"/>
    </i>
    <i>
      <x v="60"/>
    </i>
    <i>
      <x v="132"/>
    </i>
    <i>
      <x v="209"/>
    </i>
    <i>
      <x v="194"/>
    </i>
    <i>
      <x v="184"/>
    </i>
    <i>
      <x v="217"/>
    </i>
    <i>
      <x v="81"/>
    </i>
    <i>
      <x v="121"/>
    </i>
    <i>
      <x v="37"/>
    </i>
    <i>
      <x v="138"/>
    </i>
    <i>
      <x v="300"/>
    </i>
    <i>
      <x v="251"/>
    </i>
    <i>
      <x v="210"/>
    </i>
    <i>
      <x v="282"/>
    </i>
    <i>
      <x v="159"/>
    </i>
    <i>
      <x v="197"/>
    </i>
    <i>
      <x v="330"/>
    </i>
    <i>
      <x v="284"/>
    </i>
    <i>
      <x v="146"/>
    </i>
    <i>
      <x v="9"/>
    </i>
    <i>
      <x v="978"/>
    </i>
    <i>
      <x v="777"/>
    </i>
    <i>
      <x v="910"/>
    </i>
    <i>
      <x v="813"/>
    </i>
    <i>
      <x v="724"/>
    </i>
    <i>
      <x v="822"/>
    </i>
    <i>
      <x v="695"/>
    </i>
    <i>
      <x v="830"/>
    </i>
    <i>
      <x v="912"/>
    </i>
    <i>
      <x v="668"/>
    </i>
    <i>
      <x v="671"/>
    </i>
    <i>
      <x v="748"/>
    </i>
    <i>
      <x v="728"/>
    </i>
    <i>
      <x v="844"/>
    </i>
    <i>
      <x v="993"/>
    </i>
    <i>
      <x v="999"/>
    </i>
    <i>
      <x v="490"/>
    </i>
    <i>
      <x v="467"/>
    </i>
    <i>
      <x v="465"/>
    </i>
    <i>
      <x v="576"/>
    </i>
    <i>
      <x v="471"/>
    </i>
    <i>
      <x v="554"/>
    </i>
    <i>
      <x v="538"/>
    </i>
    <i>
      <x v="502"/>
    </i>
    <i>
      <x v="529"/>
    </i>
    <i>
      <x v="504"/>
    </i>
    <i>
      <x v="336"/>
    </i>
    <i>
      <x v="426"/>
    </i>
    <i>
      <x v="651"/>
    </i>
    <i>
      <x v="666"/>
    </i>
    <i>
      <x v="623"/>
    </i>
    <i>
      <x v="324"/>
    </i>
    <i>
      <x v="231"/>
    </i>
    <i>
      <x v="163"/>
    </i>
    <i>
      <x v="327"/>
    </i>
    <i>
      <x v="59"/>
    </i>
    <i>
      <x v="84"/>
    </i>
    <i>
      <x v="119"/>
    </i>
    <i>
      <x v="33"/>
    </i>
    <i>
      <x v="200"/>
    </i>
    <i>
      <x/>
    </i>
    <i>
      <x v="167"/>
    </i>
    <i>
      <x v="796"/>
    </i>
    <i>
      <x v="769"/>
    </i>
    <i>
      <x v="870"/>
    </i>
    <i>
      <x v="895"/>
    </i>
    <i>
      <x v="957"/>
    </i>
    <i>
      <x v="931"/>
    </i>
    <i>
      <x v="856"/>
    </i>
    <i>
      <x v="824"/>
    </i>
    <i>
      <x v="876"/>
    </i>
    <i>
      <x v="699"/>
    </i>
    <i>
      <x v="885"/>
    </i>
    <i>
      <x v="645"/>
    </i>
    <i>
      <x v="425"/>
    </i>
    <i>
      <x v="578"/>
    </i>
    <i>
      <x v="598"/>
    </i>
    <i>
      <x v="436"/>
    </i>
    <i>
      <x v="633"/>
    </i>
    <i>
      <x v="532"/>
    </i>
    <i>
      <x v="497"/>
    </i>
    <i>
      <x v="335"/>
    </i>
    <i>
      <x v="530"/>
    </i>
    <i>
      <x v="536"/>
    </i>
    <i>
      <x v="640"/>
    </i>
    <i>
      <x v="521"/>
    </i>
    <i>
      <x v="477"/>
    </i>
    <i>
      <x v="519"/>
    </i>
    <i>
      <x v="314"/>
    </i>
    <i>
      <x v="222"/>
    </i>
    <i>
      <x v="22"/>
    </i>
    <i>
      <x v="38"/>
    </i>
    <i>
      <x v="173"/>
    </i>
    <i>
      <x v="150"/>
    </i>
    <i>
      <x v="122"/>
    </i>
    <i>
      <x v="262"/>
    </i>
    <i>
      <x v="100"/>
    </i>
    <i>
      <x v="54"/>
    </i>
    <i>
      <x v="301"/>
    </i>
    <i>
      <x v="271"/>
    </i>
    <i>
      <x v="312"/>
    </i>
    <i>
      <x v="13"/>
    </i>
    <i>
      <x v="182"/>
    </i>
    <i>
      <x v="91"/>
    </i>
    <i>
      <x v="288"/>
    </i>
    <i>
      <x v="803"/>
    </i>
    <i>
      <x v="754"/>
    </i>
    <i>
      <x v="932"/>
    </i>
    <i>
      <x v="689"/>
    </i>
    <i>
      <x v="799"/>
    </i>
    <i>
      <x v="715"/>
    </i>
    <i>
      <x v="873"/>
    </i>
    <i>
      <x v="809"/>
    </i>
    <i>
      <x v="858"/>
    </i>
    <i>
      <x v="887"/>
    </i>
    <i>
      <x v="692"/>
    </i>
    <i>
      <x v="888"/>
    </i>
    <i>
      <x v="703"/>
    </i>
    <i>
      <x v="819"/>
    </i>
    <i>
      <x v="991"/>
    </i>
    <i>
      <x v="998"/>
    </i>
    <i>
      <x v="752"/>
    </i>
    <i>
      <x v="831"/>
    </i>
    <i>
      <x v="736"/>
    </i>
    <i>
      <x v="738"/>
    </i>
    <i>
      <x v="786"/>
    </i>
    <i>
      <x v="810"/>
    </i>
    <i>
      <x v="951"/>
    </i>
    <i>
      <x v="745"/>
    </i>
    <i>
      <x v="758"/>
    </i>
    <i>
      <x v="841"/>
    </i>
    <i>
      <x v="759"/>
    </i>
    <i>
      <x v="706"/>
    </i>
    <i>
      <x v="972"/>
    </i>
    <i>
      <x v="775"/>
    </i>
    <i>
      <x v="672"/>
    </i>
    <i>
      <x v="823"/>
    </i>
    <i>
      <x v="688"/>
    </i>
    <i>
      <x v="924"/>
    </i>
    <i>
      <x v="778"/>
    </i>
    <i>
      <x v="897"/>
    </i>
    <i>
      <x v="517"/>
    </i>
    <i>
      <x v="575"/>
    </i>
    <i>
      <x v="599"/>
    </i>
    <i>
      <x v="591"/>
    </i>
    <i>
      <x v="652"/>
    </i>
    <i>
      <x v="616"/>
    </i>
    <i>
      <x v="406"/>
    </i>
    <i>
      <x v="619"/>
    </i>
    <i>
      <x v="642"/>
    </i>
    <i>
      <x v="520"/>
    </i>
    <i>
      <x v="410"/>
    </i>
    <i>
      <x v="498"/>
    </i>
    <i>
      <x v="516"/>
    </i>
    <i>
      <x v="583"/>
    </i>
    <i>
      <x v="390"/>
    </i>
    <i>
      <x v="564"/>
    </i>
    <i>
      <x v="492"/>
    </i>
    <i>
      <x v="458"/>
    </i>
    <i>
      <x v="381"/>
    </i>
    <i>
      <x v="549"/>
    </i>
    <i>
      <x v="511"/>
    </i>
    <i>
      <x v="630"/>
    </i>
    <i>
      <x v="366"/>
    </i>
    <i>
      <x v="632"/>
    </i>
    <i>
      <x v="609"/>
    </i>
    <i>
      <x v="338"/>
    </i>
    <i>
      <x v="455"/>
    </i>
    <i>
      <x v="360"/>
    </i>
    <i>
      <x v="661"/>
    </i>
    <i>
      <x v="466"/>
    </i>
    <i>
      <x v="414"/>
    </i>
    <i>
      <x v="526"/>
    </i>
    <i>
      <x v="442"/>
    </i>
    <i>
      <x v="615"/>
    </i>
    <i>
      <x v="513"/>
    </i>
    <i>
      <x v="500"/>
    </i>
    <i>
      <x v="328"/>
    </i>
    <i>
      <x v="52"/>
    </i>
    <i>
      <x v="227"/>
    </i>
    <i>
      <x v="278"/>
    </i>
    <i>
      <x v="61"/>
    </i>
    <i>
      <x v="70"/>
    </i>
    <i>
      <x v="277"/>
    </i>
    <i>
      <x v="160"/>
    </i>
    <i>
      <x v="311"/>
    </i>
    <i>
      <x v="114"/>
    </i>
    <i>
      <x v="176"/>
    </i>
    <i>
      <x v="32"/>
    </i>
    <i>
      <x v="10"/>
    </i>
    <i>
      <x v="125"/>
    </i>
    <i>
      <x v="244"/>
    </i>
    <i>
      <x v="287"/>
    </i>
    <i>
      <x v="187"/>
    </i>
    <i>
      <x v="82"/>
    </i>
    <i>
      <x v="272"/>
    </i>
    <i>
      <x v="4"/>
    </i>
    <i>
      <x v="86"/>
    </i>
    <i>
      <x v="97"/>
    </i>
    <i>
      <x v="192"/>
    </i>
    <i>
      <x v="21"/>
    </i>
    <i>
      <x v="177"/>
    </i>
    <i>
      <x v="216"/>
    </i>
    <i>
      <x v="7"/>
    </i>
    <i>
      <x v="16"/>
    </i>
    <i>
      <x v="276"/>
    </i>
    <i>
      <x v="75"/>
    </i>
    <i>
      <x v="329"/>
    </i>
    <i>
      <x v="76"/>
    </i>
    <i>
      <x v="63"/>
    </i>
    <i>
      <x v="156"/>
    </i>
    <i>
      <x v="225"/>
    </i>
    <i>
      <x v="175"/>
    </i>
    <i>
      <x v="953"/>
    </i>
    <i>
      <x v="776"/>
    </i>
    <i>
      <x v="913"/>
    </i>
    <i>
      <x v="861"/>
    </i>
    <i>
      <x v="704"/>
    </i>
    <i>
      <x v="691"/>
    </i>
    <i>
      <x v="746"/>
    </i>
    <i>
      <x v="829"/>
    </i>
    <i>
      <x v="915"/>
    </i>
    <i>
      <x v="997"/>
    </i>
    <i>
      <x v="982"/>
    </i>
    <i>
      <x v="898"/>
    </i>
    <i>
      <x v="918"/>
    </i>
    <i>
      <x v="679"/>
    </i>
    <i>
      <x v="837"/>
    </i>
    <i>
      <x v="422"/>
    </i>
    <i>
      <x v="646"/>
    </i>
    <i>
      <x v="535"/>
    </i>
    <i>
      <x v="444"/>
    </i>
    <i>
      <x v="419"/>
    </i>
    <i>
      <x v="351"/>
    </i>
    <i>
      <x v="631"/>
    </i>
    <i>
      <x v="383"/>
    </i>
    <i>
      <x v="643"/>
    </i>
    <i>
      <x v="603"/>
    </i>
    <i>
      <x v="656"/>
    </i>
    <i>
      <x v="613"/>
    </i>
    <i>
      <x v="557"/>
    </i>
    <i>
      <x v="331"/>
    </i>
    <i>
      <x v="303"/>
    </i>
    <i>
      <x v="293"/>
    </i>
    <i>
      <x v="229"/>
    </i>
    <i>
      <x v="218"/>
    </i>
    <i>
      <x v="83"/>
    </i>
    <i>
      <x v="72"/>
    </i>
    <i>
      <x v="85"/>
    </i>
    <i>
      <x v="294"/>
    </i>
    <i>
      <x v="245"/>
    </i>
    <i>
      <x v="317"/>
    </i>
    <i>
      <x v="126"/>
    </i>
    <i>
      <x v="219"/>
    </i>
    <i>
      <x v="267"/>
    </i>
    <i>
      <x v="190"/>
    </i>
    <i>
      <x v="31"/>
    </i>
    <i>
      <x v="920"/>
    </i>
    <i>
      <x v="948"/>
    </i>
    <i>
      <x v="718"/>
    </i>
    <i>
      <x v="872"/>
    </i>
    <i>
      <x v="988"/>
    </i>
    <i>
      <x v="797"/>
    </i>
    <i>
      <x v="755"/>
    </i>
    <i>
      <x v="815"/>
    </i>
    <i>
      <x v="980"/>
    </i>
    <i>
      <x v="767"/>
    </i>
    <i>
      <x v="848"/>
    </i>
    <i>
      <x v="750"/>
    </i>
    <i>
      <x v="929"/>
    </i>
    <i>
      <x v="812"/>
    </i>
    <i>
      <x v="921"/>
    </i>
    <i>
      <x v="713"/>
    </i>
    <i>
      <x v="977"/>
    </i>
    <i>
      <x v="768"/>
    </i>
    <i>
      <x v="469"/>
    </i>
    <i>
      <x v="654"/>
    </i>
    <i>
      <x v="644"/>
    </i>
    <i>
      <x v="374"/>
    </i>
    <i>
      <x v="552"/>
    </i>
    <i>
      <x v="607"/>
    </i>
    <i>
      <x v="475"/>
    </i>
    <i>
      <x v="413"/>
    </i>
    <i>
      <x v="653"/>
    </i>
    <i>
      <x v="439"/>
    </i>
    <i>
      <x v="357"/>
    </i>
    <i>
      <x v="620"/>
    </i>
    <i>
      <x v="622"/>
    </i>
    <i>
      <x v="350"/>
    </i>
    <i>
      <x v="145"/>
    </i>
    <i>
      <x v="188"/>
    </i>
    <i>
      <x v="149"/>
    </i>
    <i>
      <x v="49"/>
    </i>
    <i>
      <x v="108"/>
    </i>
    <i>
      <x v="241"/>
    </i>
    <i>
      <x v="36"/>
    </i>
    <i>
      <x v="50"/>
    </i>
    <i>
      <x v="326"/>
    </i>
    <i>
      <x v="11"/>
    </i>
    <i>
      <x v="68"/>
    </i>
    <i>
      <x v="719"/>
    </i>
    <i>
      <x v="960"/>
    </i>
    <i>
      <x v="681"/>
    </i>
    <i>
      <x v="962"/>
    </i>
    <i>
      <x v="871"/>
    </i>
    <i>
      <x v="675"/>
    </i>
    <i>
      <x v="992"/>
    </i>
    <i>
      <x v="981"/>
    </i>
    <i>
      <x v="959"/>
    </i>
    <i>
      <x v="884"/>
    </i>
    <i>
      <x v="701"/>
    </i>
    <i>
      <x v="834"/>
    </i>
    <i>
      <x v="900"/>
    </i>
    <i>
      <x v="528"/>
    </i>
    <i>
      <x v="456"/>
    </i>
    <i>
      <x v="478"/>
    </i>
    <i>
      <x v="581"/>
    </i>
    <i>
      <x v="588"/>
    </i>
    <i>
      <x v="593"/>
    </i>
    <i>
      <x v="563"/>
    </i>
    <i>
      <x v="499"/>
    </i>
    <i>
      <x v="548"/>
    </i>
    <i>
      <x v="370"/>
    </i>
    <i>
      <x v="495"/>
    </i>
    <i>
      <x v="399"/>
    </i>
    <i>
      <x v="448"/>
    </i>
    <i>
      <x v="501"/>
    </i>
    <i>
      <x v="565"/>
    </i>
    <i>
      <x v="573"/>
    </i>
    <i>
      <x v="415"/>
    </i>
    <i>
      <x v="79"/>
    </i>
    <i>
      <x v="178"/>
    </i>
    <i>
      <x v="315"/>
    </i>
    <i>
      <x v="247"/>
    </i>
    <i>
      <x v="266"/>
    </i>
    <i>
      <x v="94"/>
    </i>
    <i>
      <x v="263"/>
    </i>
    <i>
      <x v="123"/>
    </i>
    <i>
      <x v="148"/>
    </i>
    <i>
      <x v="260"/>
    </i>
    <i>
      <x v="214"/>
    </i>
    <i>
      <x v="289"/>
    </i>
    <i>
      <x v="228"/>
    </i>
    <i>
      <x v="304"/>
    </i>
    <i>
      <x v="162"/>
    </i>
    <i>
      <x v="780"/>
    </i>
    <i>
      <x v="866"/>
    </i>
    <i>
      <x v="935"/>
    </i>
    <i>
      <x v="941"/>
    </i>
    <i>
      <x v="890"/>
    </i>
    <i>
      <x v="811"/>
    </i>
    <i>
      <x v="705"/>
    </i>
    <i>
      <x v="944"/>
    </i>
    <i>
      <x v="840"/>
    </i>
    <i>
      <x v="762"/>
    </i>
    <i>
      <x v="973"/>
    </i>
    <i>
      <x v="771"/>
    </i>
    <i>
      <x v="892"/>
    </i>
    <i>
      <x v="949"/>
    </i>
    <i>
      <x v="985"/>
    </i>
    <i>
      <x v="906"/>
    </i>
    <i>
      <x v="836"/>
    </i>
    <i>
      <x v="849"/>
    </i>
    <i>
      <x v="996"/>
    </i>
    <i>
      <x v="792"/>
    </i>
    <i>
      <x v="919"/>
    </i>
    <i>
      <x v="763"/>
    </i>
    <i>
      <x v="889"/>
    </i>
    <i>
      <x v="958"/>
    </i>
    <i>
      <x v="922"/>
    </i>
    <i>
      <x v="774"/>
    </i>
    <i>
      <x v="737"/>
    </i>
    <i>
      <x v="882"/>
    </i>
    <i>
      <x v="893"/>
    </i>
    <i>
      <x v="751"/>
    </i>
    <i>
      <x v="730"/>
    </i>
    <i>
      <x v="863"/>
    </i>
    <i>
      <x v="854"/>
    </i>
    <i>
      <x v="963"/>
    </i>
    <i>
      <x v="896"/>
    </i>
    <i>
      <x v="712"/>
    </i>
    <i>
      <x v="857"/>
    </i>
    <i>
      <x v="916"/>
    </i>
    <i>
      <x v="846"/>
    </i>
    <i>
      <x v="694"/>
    </i>
    <i>
      <x v="685"/>
    </i>
    <i>
      <x v="798"/>
    </i>
    <i>
      <x v="902"/>
    </i>
    <i>
      <x v="851"/>
    </i>
    <i>
      <x v="770"/>
    </i>
    <i>
      <x v="493"/>
    </i>
    <i>
      <x v="618"/>
    </i>
    <i>
      <x v="560"/>
    </i>
    <i>
      <x v="434"/>
    </i>
    <i>
      <x v="505"/>
    </i>
    <i>
      <x v="367"/>
    </i>
    <i>
      <x v="339"/>
    </i>
    <i>
      <x v="391"/>
    </i>
    <i>
      <x v="574"/>
    </i>
    <i>
      <x v="627"/>
    </i>
    <i>
      <x v="349"/>
    </i>
    <i>
      <x v="359"/>
    </i>
    <i>
      <x v="556"/>
    </i>
    <i>
      <x v="629"/>
    </i>
    <i>
      <x v="586"/>
    </i>
    <i>
      <x v="450"/>
    </i>
    <i>
      <x v="545"/>
    </i>
    <i>
      <x v="562"/>
    </i>
    <i>
      <x v="429"/>
    </i>
    <i>
      <x v="375"/>
    </i>
    <i>
      <x v="389"/>
    </i>
    <i>
      <x v="343"/>
    </i>
    <i>
      <x v="525"/>
    </i>
    <i>
      <x v="473"/>
    </i>
    <i>
      <x v="446"/>
    </i>
    <i>
      <x v="571"/>
    </i>
    <i>
      <x v="665"/>
    </i>
    <i>
      <x v="606"/>
    </i>
    <i>
      <x v="527"/>
    </i>
    <i>
      <x v="542"/>
    </i>
    <i>
      <x v="460"/>
    </i>
    <i>
      <x v="127"/>
    </i>
    <i>
      <x v="80"/>
    </i>
    <i>
      <x v="306"/>
    </i>
    <i>
      <x v="273"/>
    </i>
    <i>
      <x v="170"/>
    </i>
    <i>
      <x v="258"/>
    </i>
    <i>
      <x v="6"/>
    </i>
    <i>
      <x v="24"/>
    </i>
    <i>
      <x v="207"/>
    </i>
    <i>
      <x v="26"/>
    </i>
    <i>
      <x v="316"/>
    </i>
    <i>
      <x v="62"/>
    </i>
    <i>
      <x v="321"/>
    </i>
    <i>
      <x v="18"/>
    </i>
    <i>
      <x v="325"/>
    </i>
    <i>
      <x v="189"/>
    </i>
    <i>
      <x v="246"/>
    </i>
    <i>
      <x v="17"/>
    </i>
    <i>
      <x v="307"/>
    </i>
    <i>
      <x v="135"/>
    </i>
    <i>
      <x v="249"/>
    </i>
    <i>
      <x v="226"/>
    </i>
    <i>
      <x v="250"/>
    </i>
    <i>
      <x v="286"/>
    </i>
    <i>
      <x v="234"/>
    </i>
    <i>
      <x v="261"/>
    </i>
    <i>
      <x v="172"/>
    </i>
    <i>
      <x v="39"/>
    </i>
    <i>
      <x v="58"/>
    </i>
    <i>
      <x v="141"/>
    </i>
    <i>
      <x v="151"/>
    </i>
    <i>
      <x v="143"/>
    </i>
    <i>
      <x v="40"/>
    </i>
    <i>
      <x v="102"/>
    </i>
    <i>
      <x v="106"/>
    </i>
    <i>
      <x v="113"/>
    </i>
    <i>
      <x v="120"/>
    </i>
    <i>
      <x v="134"/>
    </i>
    <i>
      <x v="224"/>
    </i>
    <i>
      <x v="753"/>
    </i>
    <i>
      <x v="879"/>
    </i>
    <i>
      <x v="670"/>
    </i>
    <i>
      <x v="901"/>
    </i>
    <i>
      <x v="793"/>
    </i>
    <i>
      <x v="874"/>
    </i>
    <i>
      <x v="734"/>
    </i>
    <i>
      <x v="940"/>
    </i>
    <i>
      <x v="926"/>
    </i>
    <i>
      <x v="749"/>
    </i>
    <i>
      <x v="733"/>
    </i>
    <i>
      <x v="974"/>
    </i>
    <i>
      <x v="894"/>
    </i>
    <i>
      <x v="802"/>
    </i>
    <i>
      <x v="995"/>
    </i>
    <i>
      <x v="878"/>
    </i>
    <i>
      <x v="933"/>
    </i>
    <i>
      <x v="747"/>
    </i>
    <i>
      <x v="804"/>
    </i>
    <i>
      <x v="772"/>
    </i>
    <i>
      <x v="518"/>
    </i>
    <i>
      <x v="489"/>
    </i>
    <i>
      <x v="438"/>
    </i>
    <i>
      <x v="387"/>
    </i>
    <i>
      <x v="483"/>
    </i>
    <i>
      <x v="566"/>
    </i>
    <i>
      <x v="396"/>
    </i>
    <i>
      <x v="617"/>
    </i>
    <i>
      <x v="345"/>
    </i>
    <i>
      <x v="451"/>
    </i>
    <i>
      <x v="659"/>
    </i>
    <i>
      <x v="579"/>
    </i>
    <i>
      <x v="485"/>
    </i>
    <i>
      <x v="344"/>
    </i>
    <i>
      <x v="376"/>
    </i>
    <i>
      <x v="601"/>
    </i>
    <i>
      <x v="650"/>
    </i>
    <i>
      <x v="268"/>
    </i>
    <i>
      <x v="255"/>
    </i>
    <i>
      <x v="116"/>
    </i>
    <i>
      <x v="305"/>
    </i>
    <i>
      <x v="28"/>
    </i>
    <i>
      <x v="65"/>
    </i>
    <i>
      <x v="140"/>
    </i>
    <i>
      <x v="5"/>
    </i>
    <i>
      <x v="56"/>
    </i>
    <i>
      <x v="89"/>
    </i>
    <i>
      <x v="2"/>
    </i>
    <i>
      <x v="99"/>
    </i>
    <i>
      <x v="44"/>
    </i>
    <i>
      <x v="195"/>
    </i>
    <i>
      <x v="855"/>
    </i>
    <i>
      <x v="907"/>
    </i>
    <i>
      <x v="764"/>
    </i>
    <i>
      <x v="952"/>
    </i>
    <i>
      <x v="791"/>
    </i>
    <i>
      <x v="744"/>
    </i>
    <i>
      <x v="790"/>
    </i>
    <i>
      <x v="739"/>
    </i>
    <i>
      <x v="979"/>
    </i>
    <i>
      <x v="955"/>
    </i>
    <i>
      <x v="825"/>
    </i>
    <i>
      <x v="989"/>
    </i>
    <i>
      <x v="877"/>
    </i>
    <i>
      <x v="945"/>
    </i>
    <i>
      <x v="967"/>
    </i>
    <i>
      <x v="787"/>
    </i>
    <i>
      <x v="468"/>
    </i>
    <i>
      <x v="379"/>
    </i>
    <i>
      <x v="544"/>
    </i>
    <i>
      <x v="454"/>
    </i>
    <i>
      <x v="362"/>
    </i>
    <i>
      <x v="347"/>
    </i>
    <i>
      <x v="427"/>
    </i>
    <i>
      <x v="371"/>
    </i>
    <i>
      <x v="486"/>
    </i>
    <i>
      <x v="558"/>
    </i>
    <i>
      <x v="585"/>
    </i>
    <i>
      <x v="397"/>
    </i>
    <i>
      <x v="512"/>
    </i>
    <i>
      <x v="363"/>
    </i>
    <i>
      <x v="388"/>
    </i>
    <i>
      <x v="657"/>
    </i>
    <i>
      <x v="423"/>
    </i>
    <i>
      <x v="658"/>
    </i>
    <i>
      <x v="185"/>
    </i>
    <i>
      <x v="230"/>
    </i>
    <i>
      <x v="201"/>
    </i>
    <i>
      <x v="318"/>
    </i>
    <i>
      <x v="236"/>
    </i>
    <i>
      <x v="206"/>
    </i>
    <i>
      <x v="103"/>
    </i>
    <i>
      <x v="309"/>
    </i>
    <i>
      <x v="43"/>
    </i>
    <i>
      <x v="310"/>
    </i>
    <i>
      <x v="204"/>
    </i>
    <i>
      <x v="232"/>
    </i>
    <i>
      <x v="205"/>
    </i>
    <i>
      <x v="242"/>
    </i>
    <i>
      <x v="223"/>
    </i>
    <i>
      <x v="191"/>
    </i>
    <i>
      <x v="285"/>
    </i>
    <i t="grand">
      <x/>
    </i>
  </rowItems>
  <colItems count="1">
    <i/>
  </colItems>
  <dataFields count="1">
    <dataField name="Sum of Total Amount" fld="8" baseField="2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5000000}" name="PivotTable1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S23:T33" firstHeaderRow="1" firstDataRow="1" firstDataCol="1"/>
  <pivotFields count="11"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6">
        <item sd="0" x="0"/>
        <item x="1"/>
        <item x="2"/>
        <item x="3"/>
        <item x="4"/>
        <item sd="0" x="5"/>
      </items>
    </pivotField>
    <pivotField axis="axisRow" showAll="0" defaultSubtotal="0">
      <items count="4">
        <item sd="0" x="0"/>
        <item sd="0" x="1"/>
        <item sd="0" x="2"/>
        <item sd="0" x="3"/>
      </items>
    </pivotField>
  </pivotFields>
  <rowFields count="2">
    <field x="9"/>
    <field x="10"/>
  </rowFields>
  <rowItems count="10">
    <i>
      <x v="1"/>
    </i>
    <i r="1">
      <x v="1"/>
    </i>
    <i r="1">
      <x v="2"/>
    </i>
    <i>
      <x v="2"/>
    </i>
    <i r="1">
      <x v="1"/>
    </i>
    <i>
      <x v="3"/>
    </i>
    <i r="1">
      <x v="1"/>
    </i>
    <i>
      <x v="4"/>
    </i>
    <i r="1">
      <x v="1"/>
    </i>
    <i t="grand">
      <x/>
    </i>
  </rowItems>
  <colItems count="1">
    <i/>
  </colItems>
  <dataFields count="1">
    <dataField name="Count of Transaction ID" fld="0" subtotal="count" baseField="9" baseItem="1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0" count="1" selected="0">
            <x v="1"/>
          </reference>
        </references>
      </pivotArea>
    </chartFormat>
    <chartFormat chart="2" format="9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0" count="1" selected="0">
            <x v="2"/>
          </reference>
        </references>
      </pivotArea>
    </chartFormat>
    <chartFormat chart="2" format="10">
      <pivotArea type="data" outline="0" fieldPosition="0">
        <references count="3">
          <reference field="4294967294" count="1" selected="0">
            <x v="0"/>
          </reference>
          <reference field="9" count="1" selected="0">
            <x v="2"/>
          </reference>
          <reference field="10" count="1" selected="0">
            <x v="1"/>
          </reference>
        </references>
      </pivotArea>
    </chartFormat>
    <chartFormat chart="2" format="11">
      <pivotArea type="data" outline="0" fieldPosition="0">
        <references count="3">
          <reference field="4294967294" count="1" selected="0">
            <x v="0"/>
          </reference>
          <reference field="9" count="1" selected="0">
            <x v="3"/>
          </reference>
          <reference field="10" count="1" selected="0">
            <x v="1"/>
          </reference>
        </references>
      </pivotArea>
    </chartFormat>
    <chartFormat chart="2" format="12">
      <pivotArea type="data" outline="0" fieldPosition="0">
        <references count="3">
          <reference field="4294967294" count="1" selected="0">
            <x v="0"/>
          </reference>
          <reference field="9" count="1" selected="0">
            <x v="4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D6FC84-74DA-49DB-8BD6-A0F30171181B}" name="PivotTable20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E14:AF64" firstHeaderRow="1" firstDataRow="1" firstDataCol="1"/>
  <pivotFields count="10">
    <pivotField showAll="0"/>
    <pivotField numFmtId="14" showAll="0"/>
    <pivotField axis="axisRow" showAll="0" measureFilter="1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50">
    <i>
      <x v="14"/>
    </i>
    <i>
      <x v="64"/>
    </i>
    <i>
      <x v="71"/>
    </i>
    <i>
      <x v="73"/>
    </i>
    <i>
      <x v="88"/>
    </i>
    <i>
      <x v="92"/>
    </i>
    <i>
      <x v="109"/>
    </i>
    <i>
      <x v="118"/>
    </i>
    <i>
      <x v="124"/>
    </i>
    <i>
      <x v="139"/>
    </i>
    <i>
      <x v="152"/>
    </i>
    <i>
      <x v="155"/>
    </i>
    <i>
      <x v="157"/>
    </i>
    <i>
      <x v="166"/>
    </i>
    <i>
      <x v="253"/>
    </i>
    <i>
      <x v="257"/>
    </i>
    <i>
      <x v="269"/>
    </i>
    <i>
      <x v="281"/>
    </i>
    <i>
      <x v="342"/>
    </i>
    <i>
      <x v="412"/>
    </i>
    <i>
      <x v="416"/>
    </i>
    <i>
      <x v="420"/>
    </i>
    <i>
      <x v="447"/>
    </i>
    <i>
      <x v="476"/>
    </i>
    <i>
      <x v="480"/>
    </i>
    <i>
      <x v="487"/>
    </i>
    <i>
      <x v="503"/>
    </i>
    <i>
      <x v="547"/>
    </i>
    <i>
      <x v="561"/>
    </i>
    <i>
      <x v="572"/>
    </i>
    <i>
      <x v="577"/>
    </i>
    <i>
      <x v="592"/>
    </i>
    <i>
      <x v="595"/>
    </i>
    <i>
      <x v="626"/>
    </i>
    <i>
      <x v="634"/>
    </i>
    <i>
      <x v="664"/>
    </i>
    <i>
      <x v="700"/>
    </i>
    <i>
      <x v="731"/>
    </i>
    <i>
      <x v="735"/>
    </i>
    <i>
      <x v="742"/>
    </i>
    <i>
      <x v="743"/>
    </i>
    <i>
      <x v="773"/>
    </i>
    <i>
      <x v="789"/>
    </i>
    <i>
      <x v="808"/>
    </i>
    <i>
      <x v="832"/>
    </i>
    <i>
      <x v="875"/>
    </i>
    <i>
      <x v="927"/>
    </i>
    <i>
      <x v="946"/>
    </i>
    <i>
      <x v="970"/>
    </i>
    <i t="grand">
      <x/>
    </i>
  </rowItems>
  <colItems count="1">
    <i/>
  </colItems>
  <dataFields count="1">
    <dataField name="Sum of Total Amount" fld="8" baseField="0" baseItem="0"/>
  </dataFields>
  <chartFormats count="50">
    <chartFormat chart="2" format="5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2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2" format="53">
      <pivotArea type="data" outline="0" fieldPosition="0">
        <references count="2">
          <reference field="4294967294" count="1" selected="0">
            <x v="0"/>
          </reference>
          <reference field="2" count="1" selected="0">
            <x v="64"/>
          </reference>
        </references>
      </pivotArea>
    </chartFormat>
    <chartFormat chart="2" format="54">
      <pivotArea type="data" outline="0" fieldPosition="0">
        <references count="2">
          <reference field="4294967294" count="1" selected="0">
            <x v="0"/>
          </reference>
          <reference field="2" count="1" selected="0">
            <x v="71"/>
          </reference>
        </references>
      </pivotArea>
    </chartFormat>
    <chartFormat chart="2" format="55">
      <pivotArea type="data" outline="0" fieldPosition="0">
        <references count="2">
          <reference field="4294967294" count="1" selected="0">
            <x v="0"/>
          </reference>
          <reference field="2" count="1" selected="0">
            <x v="73"/>
          </reference>
        </references>
      </pivotArea>
    </chartFormat>
    <chartFormat chart="2" format="56">
      <pivotArea type="data" outline="0" fieldPosition="0">
        <references count="2">
          <reference field="4294967294" count="1" selected="0">
            <x v="0"/>
          </reference>
          <reference field="2" count="1" selected="0">
            <x v="88"/>
          </reference>
        </references>
      </pivotArea>
    </chartFormat>
    <chartFormat chart="2" format="57">
      <pivotArea type="data" outline="0" fieldPosition="0">
        <references count="2">
          <reference field="4294967294" count="1" selected="0">
            <x v="0"/>
          </reference>
          <reference field="2" count="1" selected="0">
            <x v="92"/>
          </reference>
        </references>
      </pivotArea>
    </chartFormat>
    <chartFormat chart="2" format="58">
      <pivotArea type="data" outline="0" fieldPosition="0">
        <references count="2">
          <reference field="4294967294" count="1" selected="0">
            <x v="0"/>
          </reference>
          <reference field="2" count="1" selected="0">
            <x v="109"/>
          </reference>
        </references>
      </pivotArea>
    </chartFormat>
    <chartFormat chart="2" format="59">
      <pivotArea type="data" outline="0" fieldPosition="0">
        <references count="2">
          <reference field="4294967294" count="1" selected="0">
            <x v="0"/>
          </reference>
          <reference field="2" count="1" selected="0">
            <x v="118"/>
          </reference>
        </references>
      </pivotArea>
    </chartFormat>
    <chartFormat chart="2" format="60">
      <pivotArea type="data" outline="0" fieldPosition="0">
        <references count="2">
          <reference field="4294967294" count="1" selected="0">
            <x v="0"/>
          </reference>
          <reference field="2" count="1" selected="0">
            <x v="124"/>
          </reference>
        </references>
      </pivotArea>
    </chartFormat>
    <chartFormat chart="2" format="6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9"/>
          </reference>
        </references>
      </pivotArea>
    </chartFormat>
    <chartFormat chart="2" format="62">
      <pivotArea type="data" outline="0" fieldPosition="0">
        <references count="2">
          <reference field="4294967294" count="1" selected="0">
            <x v="0"/>
          </reference>
          <reference field="2" count="1" selected="0">
            <x v="152"/>
          </reference>
        </references>
      </pivotArea>
    </chartFormat>
    <chartFormat chart="2" format="63">
      <pivotArea type="data" outline="0" fieldPosition="0">
        <references count="2">
          <reference field="4294967294" count="1" selected="0">
            <x v="0"/>
          </reference>
          <reference field="2" count="1" selected="0">
            <x v="155"/>
          </reference>
        </references>
      </pivotArea>
    </chartFormat>
    <chartFormat chart="2" format="64">
      <pivotArea type="data" outline="0" fieldPosition="0">
        <references count="2">
          <reference field="4294967294" count="1" selected="0">
            <x v="0"/>
          </reference>
          <reference field="2" count="1" selected="0">
            <x v="157"/>
          </reference>
        </references>
      </pivotArea>
    </chartFormat>
    <chartFormat chart="2" format="65">
      <pivotArea type="data" outline="0" fieldPosition="0">
        <references count="2">
          <reference field="4294967294" count="1" selected="0">
            <x v="0"/>
          </reference>
          <reference field="2" count="1" selected="0">
            <x v="166"/>
          </reference>
        </references>
      </pivotArea>
    </chartFormat>
    <chartFormat chart="2" format="66">
      <pivotArea type="data" outline="0" fieldPosition="0">
        <references count="2">
          <reference field="4294967294" count="1" selected="0">
            <x v="0"/>
          </reference>
          <reference field="2" count="1" selected="0">
            <x v="253"/>
          </reference>
        </references>
      </pivotArea>
    </chartFormat>
    <chartFormat chart="2" format="67">
      <pivotArea type="data" outline="0" fieldPosition="0">
        <references count="2">
          <reference field="4294967294" count="1" selected="0">
            <x v="0"/>
          </reference>
          <reference field="2" count="1" selected="0">
            <x v="257"/>
          </reference>
        </references>
      </pivotArea>
    </chartFormat>
    <chartFormat chart="2" format="68">
      <pivotArea type="data" outline="0" fieldPosition="0">
        <references count="2">
          <reference field="4294967294" count="1" selected="0">
            <x v="0"/>
          </reference>
          <reference field="2" count="1" selected="0">
            <x v="269"/>
          </reference>
        </references>
      </pivotArea>
    </chartFormat>
    <chartFormat chart="2" format="69">
      <pivotArea type="data" outline="0" fieldPosition="0">
        <references count="2">
          <reference field="4294967294" count="1" selected="0">
            <x v="0"/>
          </reference>
          <reference field="2" count="1" selected="0">
            <x v="281"/>
          </reference>
        </references>
      </pivotArea>
    </chartFormat>
    <chartFormat chart="2" format="70">
      <pivotArea type="data" outline="0" fieldPosition="0">
        <references count="2">
          <reference field="4294967294" count="1" selected="0">
            <x v="0"/>
          </reference>
          <reference field="2" count="1" selected="0">
            <x v="342"/>
          </reference>
        </references>
      </pivotArea>
    </chartFormat>
    <chartFormat chart="2" format="71">
      <pivotArea type="data" outline="0" fieldPosition="0">
        <references count="2">
          <reference field="4294967294" count="1" selected="0">
            <x v="0"/>
          </reference>
          <reference field="2" count="1" selected="0">
            <x v="412"/>
          </reference>
        </references>
      </pivotArea>
    </chartFormat>
    <chartFormat chart="2" format="72">
      <pivotArea type="data" outline="0" fieldPosition="0">
        <references count="2">
          <reference field="4294967294" count="1" selected="0">
            <x v="0"/>
          </reference>
          <reference field="2" count="1" selected="0">
            <x v="416"/>
          </reference>
        </references>
      </pivotArea>
    </chartFormat>
    <chartFormat chart="2" format="73">
      <pivotArea type="data" outline="0" fieldPosition="0">
        <references count="2">
          <reference field="4294967294" count="1" selected="0">
            <x v="0"/>
          </reference>
          <reference field="2" count="1" selected="0">
            <x v="420"/>
          </reference>
        </references>
      </pivotArea>
    </chartFormat>
    <chartFormat chart="2" format="74">
      <pivotArea type="data" outline="0" fieldPosition="0">
        <references count="2">
          <reference field="4294967294" count="1" selected="0">
            <x v="0"/>
          </reference>
          <reference field="2" count="1" selected="0">
            <x v="447"/>
          </reference>
        </references>
      </pivotArea>
    </chartFormat>
    <chartFormat chart="2" format="75">
      <pivotArea type="data" outline="0" fieldPosition="0">
        <references count="2">
          <reference field="4294967294" count="1" selected="0">
            <x v="0"/>
          </reference>
          <reference field="2" count="1" selected="0">
            <x v="476"/>
          </reference>
        </references>
      </pivotArea>
    </chartFormat>
    <chartFormat chart="2" format="76">
      <pivotArea type="data" outline="0" fieldPosition="0">
        <references count="2">
          <reference field="4294967294" count="1" selected="0">
            <x v="0"/>
          </reference>
          <reference field="2" count="1" selected="0">
            <x v="480"/>
          </reference>
        </references>
      </pivotArea>
    </chartFormat>
    <chartFormat chart="2" format="77">
      <pivotArea type="data" outline="0" fieldPosition="0">
        <references count="2">
          <reference field="4294967294" count="1" selected="0">
            <x v="0"/>
          </reference>
          <reference field="2" count="1" selected="0">
            <x v="487"/>
          </reference>
        </references>
      </pivotArea>
    </chartFormat>
    <chartFormat chart="2" format="78">
      <pivotArea type="data" outline="0" fieldPosition="0">
        <references count="2">
          <reference field="4294967294" count="1" selected="0">
            <x v="0"/>
          </reference>
          <reference field="2" count="1" selected="0">
            <x v="503"/>
          </reference>
        </references>
      </pivotArea>
    </chartFormat>
    <chartFormat chart="2" format="79">
      <pivotArea type="data" outline="0" fieldPosition="0">
        <references count="2">
          <reference field="4294967294" count="1" selected="0">
            <x v="0"/>
          </reference>
          <reference field="2" count="1" selected="0">
            <x v="547"/>
          </reference>
        </references>
      </pivotArea>
    </chartFormat>
    <chartFormat chart="2" format="80">
      <pivotArea type="data" outline="0" fieldPosition="0">
        <references count="2">
          <reference field="4294967294" count="1" selected="0">
            <x v="0"/>
          </reference>
          <reference field="2" count="1" selected="0">
            <x v="561"/>
          </reference>
        </references>
      </pivotArea>
    </chartFormat>
    <chartFormat chart="2" format="81">
      <pivotArea type="data" outline="0" fieldPosition="0">
        <references count="2">
          <reference field="4294967294" count="1" selected="0">
            <x v="0"/>
          </reference>
          <reference field="2" count="1" selected="0">
            <x v="572"/>
          </reference>
        </references>
      </pivotArea>
    </chartFormat>
    <chartFormat chart="2" format="82">
      <pivotArea type="data" outline="0" fieldPosition="0">
        <references count="2">
          <reference field="4294967294" count="1" selected="0">
            <x v="0"/>
          </reference>
          <reference field="2" count="1" selected="0">
            <x v="577"/>
          </reference>
        </references>
      </pivotArea>
    </chartFormat>
    <chartFormat chart="2" format="83">
      <pivotArea type="data" outline="0" fieldPosition="0">
        <references count="2">
          <reference field="4294967294" count="1" selected="0">
            <x v="0"/>
          </reference>
          <reference field="2" count="1" selected="0">
            <x v="592"/>
          </reference>
        </references>
      </pivotArea>
    </chartFormat>
    <chartFormat chart="2" format="84">
      <pivotArea type="data" outline="0" fieldPosition="0">
        <references count="2">
          <reference field="4294967294" count="1" selected="0">
            <x v="0"/>
          </reference>
          <reference field="2" count="1" selected="0">
            <x v="595"/>
          </reference>
        </references>
      </pivotArea>
    </chartFormat>
    <chartFormat chart="2" format="85">
      <pivotArea type="data" outline="0" fieldPosition="0">
        <references count="2">
          <reference field="4294967294" count="1" selected="0">
            <x v="0"/>
          </reference>
          <reference field="2" count="1" selected="0">
            <x v="626"/>
          </reference>
        </references>
      </pivotArea>
    </chartFormat>
    <chartFormat chart="2" format="86">
      <pivotArea type="data" outline="0" fieldPosition="0">
        <references count="2">
          <reference field="4294967294" count="1" selected="0">
            <x v="0"/>
          </reference>
          <reference field="2" count="1" selected="0">
            <x v="634"/>
          </reference>
        </references>
      </pivotArea>
    </chartFormat>
    <chartFormat chart="2" format="87">
      <pivotArea type="data" outline="0" fieldPosition="0">
        <references count="2">
          <reference field="4294967294" count="1" selected="0">
            <x v="0"/>
          </reference>
          <reference field="2" count="1" selected="0">
            <x v="664"/>
          </reference>
        </references>
      </pivotArea>
    </chartFormat>
    <chartFormat chart="2" format="88">
      <pivotArea type="data" outline="0" fieldPosition="0">
        <references count="2">
          <reference field="4294967294" count="1" selected="0">
            <x v="0"/>
          </reference>
          <reference field="2" count="1" selected="0">
            <x v="700"/>
          </reference>
        </references>
      </pivotArea>
    </chartFormat>
    <chartFormat chart="2" format="89">
      <pivotArea type="data" outline="0" fieldPosition="0">
        <references count="2">
          <reference field="4294967294" count="1" selected="0">
            <x v="0"/>
          </reference>
          <reference field="2" count="1" selected="0">
            <x v="731"/>
          </reference>
        </references>
      </pivotArea>
    </chartFormat>
    <chartFormat chart="2" format="90">
      <pivotArea type="data" outline="0" fieldPosition="0">
        <references count="2">
          <reference field="4294967294" count="1" selected="0">
            <x v="0"/>
          </reference>
          <reference field="2" count="1" selected="0">
            <x v="735"/>
          </reference>
        </references>
      </pivotArea>
    </chartFormat>
    <chartFormat chart="2" format="91">
      <pivotArea type="data" outline="0" fieldPosition="0">
        <references count="2">
          <reference field="4294967294" count="1" selected="0">
            <x v="0"/>
          </reference>
          <reference field="2" count="1" selected="0">
            <x v="742"/>
          </reference>
        </references>
      </pivotArea>
    </chartFormat>
    <chartFormat chart="2" format="92">
      <pivotArea type="data" outline="0" fieldPosition="0">
        <references count="2">
          <reference field="4294967294" count="1" selected="0">
            <x v="0"/>
          </reference>
          <reference field="2" count="1" selected="0">
            <x v="743"/>
          </reference>
        </references>
      </pivotArea>
    </chartFormat>
    <chartFormat chart="2" format="93">
      <pivotArea type="data" outline="0" fieldPosition="0">
        <references count="2">
          <reference field="4294967294" count="1" selected="0">
            <x v="0"/>
          </reference>
          <reference field="2" count="1" selected="0">
            <x v="773"/>
          </reference>
        </references>
      </pivotArea>
    </chartFormat>
    <chartFormat chart="2" format="94">
      <pivotArea type="data" outline="0" fieldPosition="0">
        <references count="2">
          <reference field="4294967294" count="1" selected="0">
            <x v="0"/>
          </reference>
          <reference field="2" count="1" selected="0">
            <x v="789"/>
          </reference>
        </references>
      </pivotArea>
    </chartFormat>
    <chartFormat chart="2" format="95">
      <pivotArea type="data" outline="0" fieldPosition="0">
        <references count="2">
          <reference field="4294967294" count="1" selected="0">
            <x v="0"/>
          </reference>
          <reference field="2" count="1" selected="0">
            <x v="808"/>
          </reference>
        </references>
      </pivotArea>
    </chartFormat>
    <chartFormat chart="2" format="96">
      <pivotArea type="data" outline="0" fieldPosition="0">
        <references count="2">
          <reference field="4294967294" count="1" selected="0">
            <x v="0"/>
          </reference>
          <reference field="2" count="1" selected="0">
            <x v="832"/>
          </reference>
        </references>
      </pivotArea>
    </chartFormat>
    <chartFormat chart="2" format="97">
      <pivotArea type="data" outline="0" fieldPosition="0">
        <references count="2">
          <reference field="4294967294" count="1" selected="0">
            <x v="0"/>
          </reference>
          <reference field="2" count="1" selected="0">
            <x v="875"/>
          </reference>
        </references>
      </pivotArea>
    </chartFormat>
    <chartFormat chart="2" format="98">
      <pivotArea type="data" outline="0" fieldPosition="0">
        <references count="2">
          <reference field="4294967294" count="1" selected="0">
            <x v="0"/>
          </reference>
          <reference field="2" count="1" selected="0">
            <x v="927"/>
          </reference>
        </references>
      </pivotArea>
    </chartFormat>
    <chartFormat chart="2" format="99">
      <pivotArea type="data" outline="0" fieldPosition="0">
        <references count="2">
          <reference field="4294967294" count="1" selected="0">
            <x v="0"/>
          </reference>
          <reference field="2" count="1" selected="0">
            <x v="946"/>
          </reference>
        </references>
      </pivotArea>
    </chartFormat>
    <chartFormat chart="2" format="100">
      <pivotArea type="data" outline="0" fieldPosition="0">
        <references count="2">
          <reference field="4294967294" count="1" selected="0">
            <x v="0"/>
          </reference>
          <reference field="2" count="1" selected="0">
            <x v="97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2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9000000}" name="PivotTable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P9:Q13" firstHeaderRow="1" firstDataRow="1" firstDataCol="1"/>
  <pivotFields count="11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Amount" fld="8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P65:Q68" firstHeaderRow="1" firstDataRow="1" firstDataCol="1"/>
  <pivotFields count="11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Gender" fld="3" subtotal="count" baseField="0" baseItem="0"/>
  </dataFields>
  <chartFormats count="3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97B79B-2B96-4F0F-88A7-931B5DB7586F}" name="PivotTable5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Y2:Z1003" firstHeaderRow="1" firstDataRow="1" firstDataCol="1"/>
  <pivotFields count="10">
    <pivotField axis="axisRow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10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 t="grand">
      <x/>
    </i>
  </rowItems>
  <colItems count="1">
    <i/>
  </colItems>
  <dataFields count="1">
    <dataField name="Max of Total Amount" fld="8" subtotal="max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21" Type="http://schemas.openxmlformats.org/officeDocument/2006/relationships/printerSettings" Target="../printerSettings/printerSettings1.bin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18"/>
  <sheetViews>
    <sheetView topLeftCell="AC1" workbookViewId="0">
      <selection activeCell="AH1" sqref="AH1:AI6"/>
    </sheetView>
  </sheetViews>
  <sheetFormatPr defaultRowHeight="15" x14ac:dyDescent="0.25"/>
  <cols>
    <col min="1" max="1" width="15.7109375" customWidth="1"/>
    <col min="2" max="2" width="13.5703125" customWidth="1"/>
    <col min="3" max="3" width="12.5703125" customWidth="1"/>
    <col min="6" max="6" width="16.85546875" customWidth="1"/>
    <col min="8" max="8" width="14.5703125" customWidth="1"/>
    <col min="9" max="9" width="13" customWidth="1"/>
    <col min="10" max="10" width="18" customWidth="1"/>
    <col min="11" max="11" width="13.140625" bestFit="1" customWidth="1"/>
    <col min="12" max="12" width="15.85546875" bestFit="1" customWidth="1"/>
    <col min="13" max="13" width="13.140625" bestFit="1" customWidth="1"/>
    <col min="14" max="14" width="19.85546875" bestFit="1" customWidth="1"/>
    <col min="16" max="16" width="13.140625" bestFit="1" customWidth="1"/>
    <col min="17" max="17" width="19.85546875" bestFit="1" customWidth="1"/>
    <col min="19" max="19" width="13.140625" bestFit="1" customWidth="1"/>
    <col min="20" max="20" width="20.140625" bestFit="1" customWidth="1"/>
    <col min="21" max="21" width="9.28515625" customWidth="1"/>
    <col min="22" max="22" width="13.140625" bestFit="1" customWidth="1"/>
    <col min="23" max="23" width="23.42578125" bestFit="1" customWidth="1"/>
    <col min="25" max="25" width="13.140625" bestFit="1" customWidth="1"/>
    <col min="26" max="26" width="19.85546875" bestFit="1" customWidth="1"/>
    <col min="28" max="28" width="13.140625" bestFit="1" customWidth="1"/>
    <col min="29" max="29" width="19" bestFit="1" customWidth="1"/>
    <col min="31" max="31" width="13.140625" bestFit="1" customWidth="1"/>
    <col min="32" max="32" width="19.85546875" bestFit="1" customWidth="1"/>
    <col min="34" max="34" width="13.140625" bestFit="1" customWidth="1"/>
    <col min="35" max="35" width="19.85546875" bestFit="1" customWidth="1"/>
  </cols>
  <sheetData>
    <row r="1" spans="1:3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1088</v>
      </c>
      <c r="M1" s="4" t="s">
        <v>22</v>
      </c>
      <c r="P1" t="s">
        <v>46</v>
      </c>
      <c r="S1" t="s">
        <v>1030</v>
      </c>
      <c r="V1" t="s">
        <v>1094</v>
      </c>
      <c r="Y1" t="s">
        <v>1099</v>
      </c>
      <c r="AB1" t="s">
        <v>1100</v>
      </c>
      <c r="AE1" t="s">
        <v>1106</v>
      </c>
      <c r="AH1" t="s">
        <v>1108</v>
      </c>
    </row>
    <row r="2" spans="1:35" x14ac:dyDescent="0.25">
      <c r="A2">
        <v>1</v>
      </c>
      <c r="B2" s="1">
        <v>45254</v>
      </c>
      <c r="C2" t="s">
        <v>11</v>
      </c>
      <c r="D2" t="s">
        <v>12</v>
      </c>
      <c r="E2">
        <v>34</v>
      </c>
      <c r="F2" t="s">
        <v>13</v>
      </c>
      <c r="G2">
        <v>3</v>
      </c>
      <c r="H2">
        <v>50</v>
      </c>
      <c r="I2">
        <v>150</v>
      </c>
      <c r="J2" t="str">
        <f>IF(AND(E2&gt;=18,E2&lt;=25),"18-25",IF(AND(E2&gt;=26,E2&lt;=35),"26-35",IF(AND(E2&gt;=36,E2&lt;=45),"36-45",IF(AND(E2&gt;=46,E2&lt;=60),"46-60"))))</f>
        <v>26-35</v>
      </c>
      <c r="M2" s="5" t="s">
        <v>14</v>
      </c>
      <c r="N2" t="s">
        <v>31</v>
      </c>
      <c r="P2" s="5" t="s">
        <v>14</v>
      </c>
      <c r="Q2" t="s">
        <v>31</v>
      </c>
      <c r="S2" s="5" t="s">
        <v>14</v>
      </c>
      <c r="T2" t="s">
        <v>31</v>
      </c>
      <c r="V2" s="5" t="s">
        <v>14</v>
      </c>
      <c r="W2" t="s">
        <v>31</v>
      </c>
      <c r="Y2" s="5" t="s">
        <v>14</v>
      </c>
      <c r="Z2" t="s">
        <v>1095</v>
      </c>
      <c r="AB2" s="5" t="s">
        <v>14</v>
      </c>
      <c r="AC2" t="s">
        <v>1101</v>
      </c>
      <c r="AE2" s="5" t="s">
        <v>14</v>
      </c>
      <c r="AF2" t="s">
        <v>31</v>
      </c>
      <c r="AH2" s="5" t="s">
        <v>14</v>
      </c>
      <c r="AI2" t="s">
        <v>31</v>
      </c>
    </row>
    <row r="3" spans="1:35" x14ac:dyDescent="0.25">
      <c r="A3">
        <v>2</v>
      </c>
      <c r="B3" s="1">
        <v>44984</v>
      </c>
      <c r="C3" t="s">
        <v>15</v>
      </c>
      <c r="D3" t="s">
        <v>16</v>
      </c>
      <c r="E3">
        <v>26</v>
      </c>
      <c r="F3" t="s">
        <v>17</v>
      </c>
      <c r="G3">
        <v>2</v>
      </c>
      <c r="H3">
        <v>500</v>
      </c>
      <c r="I3">
        <v>1000</v>
      </c>
      <c r="J3" t="str">
        <f t="shared" ref="J3:J66" si="0">IF(AND(E3&gt;=18,E3&lt;=25),"18-25",IF(AND(E3&gt;=26,E3&lt;=35),"26-35",IF(AND(E3&gt;=36,E3&lt;=45),"36-45",IF(AND(E3&gt;=46,E3&lt;=60),"46-60"))))</f>
        <v>26-35</v>
      </c>
      <c r="M3" s="6" t="s">
        <v>817</v>
      </c>
      <c r="N3">
        <v>2000</v>
      </c>
      <c r="P3" s="6" t="s">
        <v>20</v>
      </c>
      <c r="Q3">
        <v>156905</v>
      </c>
      <c r="S3" s="6" t="s">
        <v>1069</v>
      </c>
      <c r="V3" s="6" t="s">
        <v>1092</v>
      </c>
      <c r="W3">
        <v>147875</v>
      </c>
      <c r="Y3" s="6">
        <v>1</v>
      </c>
      <c r="Z3">
        <v>150</v>
      </c>
      <c r="AB3" s="6" t="s">
        <v>20</v>
      </c>
      <c r="AC3">
        <v>62210</v>
      </c>
      <c r="AE3" s="6" t="s">
        <v>16</v>
      </c>
      <c r="AF3">
        <v>232840</v>
      </c>
      <c r="AH3" s="6" t="s">
        <v>20</v>
      </c>
      <c r="AI3" s="10">
        <v>156905</v>
      </c>
    </row>
    <row r="4" spans="1:35" x14ac:dyDescent="0.25">
      <c r="A4">
        <v>3</v>
      </c>
      <c r="B4" s="1">
        <v>44939</v>
      </c>
      <c r="C4" t="s">
        <v>19</v>
      </c>
      <c r="D4" t="s">
        <v>12</v>
      </c>
      <c r="E4">
        <v>50</v>
      </c>
      <c r="F4" t="s">
        <v>20</v>
      </c>
      <c r="G4">
        <v>1</v>
      </c>
      <c r="H4">
        <v>30</v>
      </c>
      <c r="I4">
        <v>30</v>
      </c>
      <c r="J4" t="str">
        <f t="shared" si="0"/>
        <v>46-60</v>
      </c>
      <c r="M4" s="6" t="s">
        <v>974</v>
      </c>
      <c r="N4">
        <v>2000</v>
      </c>
      <c r="P4" s="6" t="s">
        <v>17</v>
      </c>
      <c r="Q4">
        <v>155580</v>
      </c>
      <c r="S4" s="7" t="s">
        <v>1070</v>
      </c>
      <c r="V4" s="6" t="s">
        <v>1090</v>
      </c>
      <c r="W4">
        <v>98480</v>
      </c>
      <c r="Y4" s="6">
        <v>2</v>
      </c>
      <c r="Z4">
        <v>1000</v>
      </c>
      <c r="AB4" s="6" t="s">
        <v>17</v>
      </c>
      <c r="AC4">
        <v>61175</v>
      </c>
      <c r="AE4" s="7" t="s">
        <v>13</v>
      </c>
      <c r="AF4">
        <v>74830</v>
      </c>
      <c r="AH4" s="6" t="s">
        <v>17</v>
      </c>
      <c r="AI4" s="10">
        <v>155580</v>
      </c>
    </row>
    <row r="5" spans="1:35" x14ac:dyDescent="0.25">
      <c r="A5">
        <v>4</v>
      </c>
      <c r="B5" s="1">
        <v>45067</v>
      </c>
      <c r="C5" t="s">
        <v>21</v>
      </c>
      <c r="D5" t="s">
        <v>12</v>
      </c>
      <c r="E5">
        <v>37</v>
      </c>
      <c r="F5" t="s">
        <v>17</v>
      </c>
      <c r="G5">
        <v>1</v>
      </c>
      <c r="H5">
        <v>500</v>
      </c>
      <c r="I5">
        <v>500</v>
      </c>
      <c r="J5" t="str">
        <f t="shared" si="0"/>
        <v>36-45</v>
      </c>
      <c r="M5" s="6" t="s">
        <v>903</v>
      </c>
      <c r="N5">
        <v>2000</v>
      </c>
      <c r="P5" s="6" t="s">
        <v>13</v>
      </c>
      <c r="Q5">
        <v>143515</v>
      </c>
      <c r="S5" s="8" t="s">
        <v>1071</v>
      </c>
      <c r="T5">
        <v>35450</v>
      </c>
      <c r="V5" s="6" t="s">
        <v>1091</v>
      </c>
      <c r="W5">
        <v>91870</v>
      </c>
      <c r="Y5" s="6">
        <v>3</v>
      </c>
      <c r="Z5">
        <v>30</v>
      </c>
      <c r="AB5" s="6" t="s">
        <v>13</v>
      </c>
      <c r="AC5">
        <v>56505</v>
      </c>
      <c r="AE5" s="7" t="s">
        <v>17</v>
      </c>
      <c r="AF5">
        <v>81275</v>
      </c>
      <c r="AH5" s="6" t="s">
        <v>13</v>
      </c>
      <c r="AI5" s="10">
        <v>143515</v>
      </c>
    </row>
    <row r="6" spans="1:35" x14ac:dyDescent="0.25">
      <c r="A6">
        <v>5</v>
      </c>
      <c r="B6" s="1">
        <v>45052</v>
      </c>
      <c r="C6" t="s">
        <v>23</v>
      </c>
      <c r="D6" t="s">
        <v>12</v>
      </c>
      <c r="E6">
        <v>30</v>
      </c>
      <c r="F6" t="s">
        <v>13</v>
      </c>
      <c r="G6">
        <v>2</v>
      </c>
      <c r="H6">
        <v>50</v>
      </c>
      <c r="I6">
        <v>100</v>
      </c>
      <c r="J6" t="str">
        <f t="shared" si="0"/>
        <v>26-35</v>
      </c>
      <c r="M6" s="6" t="s">
        <v>728</v>
      </c>
      <c r="N6">
        <v>2000</v>
      </c>
      <c r="P6" s="6" t="s">
        <v>24</v>
      </c>
      <c r="Q6">
        <v>456000</v>
      </c>
      <c r="S6" s="8" t="s">
        <v>1072</v>
      </c>
      <c r="T6">
        <v>44060</v>
      </c>
      <c r="V6" s="6" t="s">
        <v>1089</v>
      </c>
      <c r="W6">
        <v>84550</v>
      </c>
      <c r="Y6" s="6">
        <v>4</v>
      </c>
      <c r="Z6">
        <v>500</v>
      </c>
      <c r="AB6" s="6" t="s">
        <v>24</v>
      </c>
      <c r="AC6">
        <v>179890</v>
      </c>
      <c r="AE6" s="7" t="s">
        <v>20</v>
      </c>
      <c r="AF6">
        <v>76735</v>
      </c>
      <c r="AH6" s="6" t="s">
        <v>24</v>
      </c>
      <c r="AI6" s="10">
        <v>456000</v>
      </c>
    </row>
    <row r="7" spans="1:35" x14ac:dyDescent="0.25">
      <c r="A7">
        <v>6</v>
      </c>
      <c r="B7" s="1">
        <v>45041</v>
      </c>
      <c r="C7" t="s">
        <v>25</v>
      </c>
      <c r="D7" t="s">
        <v>16</v>
      </c>
      <c r="E7">
        <v>45</v>
      </c>
      <c r="F7" t="s">
        <v>13</v>
      </c>
      <c r="G7">
        <v>1</v>
      </c>
      <c r="H7">
        <v>30</v>
      </c>
      <c r="I7">
        <v>30</v>
      </c>
      <c r="J7" t="str">
        <f t="shared" si="0"/>
        <v>36-45</v>
      </c>
      <c r="M7" s="6" t="s">
        <v>801</v>
      </c>
      <c r="N7">
        <v>2000</v>
      </c>
      <c r="S7" s="8" t="s">
        <v>1073</v>
      </c>
      <c r="T7">
        <v>28990</v>
      </c>
      <c r="V7" s="6" t="s">
        <v>1093</v>
      </c>
      <c r="W7">
        <v>33225</v>
      </c>
      <c r="Y7" s="6">
        <v>5</v>
      </c>
      <c r="Z7">
        <v>100</v>
      </c>
      <c r="AE7" s="6" t="s">
        <v>12</v>
      </c>
      <c r="AF7">
        <v>223160</v>
      </c>
    </row>
    <row r="8" spans="1:35" x14ac:dyDescent="0.25">
      <c r="A8">
        <v>7</v>
      </c>
      <c r="B8" s="1">
        <v>44998</v>
      </c>
      <c r="C8" t="s">
        <v>27</v>
      </c>
      <c r="D8" t="s">
        <v>12</v>
      </c>
      <c r="E8">
        <v>46</v>
      </c>
      <c r="F8" t="s">
        <v>17</v>
      </c>
      <c r="G8">
        <v>2</v>
      </c>
      <c r="H8">
        <v>25</v>
      </c>
      <c r="I8">
        <v>50</v>
      </c>
      <c r="J8" t="str">
        <f t="shared" si="0"/>
        <v>46-60</v>
      </c>
      <c r="M8" s="6" t="s">
        <v>759</v>
      </c>
      <c r="N8">
        <v>2000</v>
      </c>
      <c r="P8" s="6" t="s">
        <v>53</v>
      </c>
      <c r="S8" s="7" t="s">
        <v>1074</v>
      </c>
      <c r="V8" s="6" t="s">
        <v>24</v>
      </c>
      <c r="W8">
        <v>456000</v>
      </c>
      <c r="Y8" s="6">
        <v>6</v>
      </c>
      <c r="Z8">
        <v>30</v>
      </c>
      <c r="AB8" s="6" t="s">
        <v>1102</v>
      </c>
      <c r="AE8" s="7" t="s">
        <v>13</v>
      </c>
      <c r="AF8">
        <v>68685</v>
      </c>
    </row>
    <row r="9" spans="1:35" x14ac:dyDescent="0.25">
      <c r="A9">
        <v>8</v>
      </c>
      <c r="B9" s="1">
        <v>44979</v>
      </c>
      <c r="C9" t="s">
        <v>30</v>
      </c>
      <c r="D9" t="s">
        <v>12</v>
      </c>
      <c r="E9">
        <v>30</v>
      </c>
      <c r="F9" t="s">
        <v>20</v>
      </c>
      <c r="G9">
        <v>4</v>
      </c>
      <c r="H9">
        <v>25</v>
      </c>
      <c r="I9">
        <v>100</v>
      </c>
      <c r="J9" t="str">
        <f t="shared" si="0"/>
        <v>26-35</v>
      </c>
      <c r="M9" s="6" t="s">
        <v>860</v>
      </c>
      <c r="N9">
        <v>2000</v>
      </c>
      <c r="P9" s="5" t="s">
        <v>14</v>
      </c>
      <c r="Q9" t="s">
        <v>31</v>
      </c>
      <c r="S9" s="8" t="s">
        <v>1075</v>
      </c>
      <c r="T9">
        <v>33870</v>
      </c>
      <c r="Y9" s="6">
        <v>7</v>
      </c>
      <c r="Z9">
        <v>50</v>
      </c>
      <c r="AB9" s="5" t="s">
        <v>14</v>
      </c>
      <c r="AC9" t="s">
        <v>1103</v>
      </c>
      <c r="AE9" s="7" t="s">
        <v>17</v>
      </c>
      <c r="AF9">
        <v>74305</v>
      </c>
    </row>
    <row r="10" spans="1:35" x14ac:dyDescent="0.25">
      <c r="A10">
        <v>9</v>
      </c>
      <c r="B10" s="1">
        <v>45273</v>
      </c>
      <c r="C10" t="s">
        <v>32</v>
      </c>
      <c r="D10" t="s">
        <v>12</v>
      </c>
      <c r="E10">
        <v>63</v>
      </c>
      <c r="F10" t="s">
        <v>20</v>
      </c>
      <c r="G10">
        <v>2</v>
      </c>
      <c r="H10">
        <v>300</v>
      </c>
      <c r="I10">
        <v>600</v>
      </c>
      <c r="J10" t="b">
        <f t="shared" si="0"/>
        <v>0</v>
      </c>
      <c r="M10" s="6" t="s">
        <v>763</v>
      </c>
      <c r="N10">
        <v>2000</v>
      </c>
      <c r="P10" s="6" t="s">
        <v>13</v>
      </c>
      <c r="Q10">
        <v>143515</v>
      </c>
      <c r="S10" s="8" t="s">
        <v>1076</v>
      </c>
      <c r="T10">
        <v>53150</v>
      </c>
      <c r="V10" s="6" t="s">
        <v>1096</v>
      </c>
      <c r="Y10" s="6">
        <v>8</v>
      </c>
      <c r="Z10">
        <v>100</v>
      </c>
      <c r="AB10" s="6" t="s">
        <v>17</v>
      </c>
      <c r="AC10">
        <v>894</v>
      </c>
      <c r="AE10" s="7" t="s">
        <v>20</v>
      </c>
      <c r="AF10">
        <v>80170</v>
      </c>
    </row>
    <row r="11" spans="1:35" x14ac:dyDescent="0.25">
      <c r="A11">
        <v>10</v>
      </c>
      <c r="B11" s="1">
        <v>45206</v>
      </c>
      <c r="C11" t="s">
        <v>33</v>
      </c>
      <c r="D11" t="s">
        <v>16</v>
      </c>
      <c r="E11">
        <v>52</v>
      </c>
      <c r="F11" t="s">
        <v>17</v>
      </c>
      <c r="G11">
        <v>4</v>
      </c>
      <c r="H11">
        <v>50</v>
      </c>
      <c r="I11">
        <v>200</v>
      </c>
      <c r="J11" t="str">
        <f t="shared" si="0"/>
        <v>46-60</v>
      </c>
      <c r="M11" s="6" t="s">
        <v>955</v>
      </c>
      <c r="N11">
        <v>2000</v>
      </c>
      <c r="P11" s="6" t="s">
        <v>17</v>
      </c>
      <c r="Q11">
        <v>155580</v>
      </c>
      <c r="S11" s="8" t="s">
        <v>1077</v>
      </c>
      <c r="T11">
        <v>36715</v>
      </c>
      <c r="V11" s="5" t="s">
        <v>14</v>
      </c>
      <c r="W11" t="s">
        <v>31</v>
      </c>
      <c r="Y11" s="6">
        <v>9</v>
      </c>
      <c r="Z11">
        <v>600</v>
      </c>
      <c r="AB11" s="6" t="s">
        <v>20</v>
      </c>
      <c r="AC11">
        <v>849</v>
      </c>
      <c r="AE11" s="6" t="s">
        <v>24</v>
      </c>
      <c r="AF11">
        <v>456000</v>
      </c>
    </row>
    <row r="12" spans="1:35" x14ac:dyDescent="0.25">
      <c r="A12">
        <v>11</v>
      </c>
      <c r="B12" s="1">
        <v>44971</v>
      </c>
      <c r="C12" t="s">
        <v>34</v>
      </c>
      <c r="D12" t="s">
        <v>12</v>
      </c>
      <c r="E12">
        <v>23</v>
      </c>
      <c r="F12" t="s">
        <v>17</v>
      </c>
      <c r="G12">
        <v>2</v>
      </c>
      <c r="H12">
        <v>50</v>
      </c>
      <c r="I12">
        <v>100</v>
      </c>
      <c r="J12" t="str">
        <f t="shared" si="0"/>
        <v>18-25</v>
      </c>
      <c r="M12" s="6" t="s">
        <v>770</v>
      </c>
      <c r="N12">
        <v>2000</v>
      </c>
      <c r="P12" s="6" t="s">
        <v>20</v>
      </c>
      <c r="Q12">
        <v>156905</v>
      </c>
      <c r="S12" s="7" t="s">
        <v>1078</v>
      </c>
      <c r="V12" s="6" t="s">
        <v>16</v>
      </c>
      <c r="W12">
        <v>232840</v>
      </c>
      <c r="Y12" s="6">
        <v>10</v>
      </c>
      <c r="Z12">
        <v>200</v>
      </c>
      <c r="AB12" s="6" t="s">
        <v>13</v>
      </c>
      <c r="AC12">
        <v>771</v>
      </c>
    </row>
    <row r="13" spans="1:35" x14ac:dyDescent="0.25">
      <c r="A13">
        <v>12</v>
      </c>
      <c r="B13" s="1">
        <v>45229</v>
      </c>
      <c r="C13" t="s">
        <v>35</v>
      </c>
      <c r="D13" t="s">
        <v>12</v>
      </c>
      <c r="E13">
        <v>35</v>
      </c>
      <c r="F13" t="s">
        <v>13</v>
      </c>
      <c r="G13">
        <v>3</v>
      </c>
      <c r="H13">
        <v>25</v>
      </c>
      <c r="I13">
        <v>75</v>
      </c>
      <c r="J13" t="str">
        <f t="shared" si="0"/>
        <v>26-35</v>
      </c>
      <c r="M13" s="6" t="s">
        <v>998</v>
      </c>
      <c r="N13">
        <v>2000</v>
      </c>
      <c r="P13" s="6" t="s">
        <v>24</v>
      </c>
      <c r="Q13">
        <v>456000</v>
      </c>
      <c r="S13" s="8" t="s">
        <v>1079</v>
      </c>
      <c r="T13">
        <v>35465</v>
      </c>
      <c r="V13" s="6" t="s">
        <v>12</v>
      </c>
      <c r="W13">
        <v>223160</v>
      </c>
      <c r="Y13" s="6">
        <v>11</v>
      </c>
      <c r="Z13">
        <v>100</v>
      </c>
      <c r="AB13" s="6" t="s">
        <v>24</v>
      </c>
      <c r="AC13">
        <v>2514</v>
      </c>
      <c r="AE13" s="7" t="s">
        <v>1107</v>
      </c>
    </row>
    <row r="14" spans="1:35" x14ac:dyDescent="0.25">
      <c r="A14">
        <v>13</v>
      </c>
      <c r="B14" s="1">
        <v>45143</v>
      </c>
      <c r="C14" t="s">
        <v>36</v>
      </c>
      <c r="D14" t="s">
        <v>12</v>
      </c>
      <c r="E14">
        <v>22</v>
      </c>
      <c r="F14" t="s">
        <v>20</v>
      </c>
      <c r="G14">
        <v>3</v>
      </c>
      <c r="H14">
        <v>500</v>
      </c>
      <c r="I14">
        <v>1500</v>
      </c>
      <c r="J14" t="str">
        <f t="shared" si="0"/>
        <v>18-25</v>
      </c>
      <c r="M14" s="6" t="s">
        <v>771</v>
      </c>
      <c r="N14">
        <v>2000</v>
      </c>
      <c r="S14" s="8" t="s">
        <v>1080</v>
      </c>
      <c r="T14">
        <v>36960</v>
      </c>
      <c r="V14" s="6" t="s">
        <v>24</v>
      </c>
      <c r="W14">
        <v>456000</v>
      </c>
      <c r="Y14" s="6">
        <v>12</v>
      </c>
      <c r="Z14">
        <v>75</v>
      </c>
      <c r="AE14" s="5" t="s">
        <v>14</v>
      </c>
      <c r="AF14" t="s">
        <v>31</v>
      </c>
    </row>
    <row r="15" spans="1:35" x14ac:dyDescent="0.25">
      <c r="A15">
        <v>14</v>
      </c>
      <c r="B15" s="1">
        <v>44943</v>
      </c>
      <c r="C15" t="s">
        <v>38</v>
      </c>
      <c r="D15" t="s">
        <v>12</v>
      </c>
      <c r="E15">
        <v>64</v>
      </c>
      <c r="F15" t="s">
        <v>17</v>
      </c>
      <c r="G15">
        <v>4</v>
      </c>
      <c r="H15">
        <v>30</v>
      </c>
      <c r="I15">
        <v>120</v>
      </c>
      <c r="J15" t="b">
        <f t="shared" si="0"/>
        <v>0</v>
      </c>
      <c r="M15" s="6" t="s">
        <v>836</v>
      </c>
      <c r="N15">
        <v>2000</v>
      </c>
      <c r="P15" s="6" t="s">
        <v>10</v>
      </c>
      <c r="S15" s="8" t="s">
        <v>1081</v>
      </c>
      <c r="T15">
        <v>23620</v>
      </c>
      <c r="Y15" s="6">
        <v>13</v>
      </c>
      <c r="Z15">
        <v>1500</v>
      </c>
      <c r="AB15" s="6" t="s">
        <v>1104</v>
      </c>
      <c r="AE15" s="6" t="s">
        <v>40</v>
      </c>
      <c r="AF15">
        <v>2000</v>
      </c>
    </row>
    <row r="16" spans="1:35" x14ac:dyDescent="0.25">
      <c r="A16">
        <v>15</v>
      </c>
      <c r="B16" s="1">
        <v>44942</v>
      </c>
      <c r="C16" t="s">
        <v>40</v>
      </c>
      <c r="D16" t="s">
        <v>16</v>
      </c>
      <c r="E16">
        <v>42</v>
      </c>
      <c r="F16" t="s">
        <v>20</v>
      </c>
      <c r="G16">
        <v>4</v>
      </c>
      <c r="H16">
        <v>500</v>
      </c>
      <c r="I16">
        <v>2000</v>
      </c>
      <c r="J16" t="str">
        <f t="shared" si="0"/>
        <v>36-45</v>
      </c>
      <c r="M16" s="6" t="s">
        <v>654</v>
      </c>
      <c r="N16">
        <v>2000</v>
      </c>
      <c r="P16" s="5" t="s">
        <v>14</v>
      </c>
      <c r="Q16" t="s">
        <v>28</v>
      </c>
      <c r="S16" s="7" t="s">
        <v>1082</v>
      </c>
      <c r="T16">
        <v>126190</v>
      </c>
      <c r="V16" s="6" t="s">
        <v>1097</v>
      </c>
      <c r="Y16" s="6">
        <v>14</v>
      </c>
      <c r="Z16">
        <v>120</v>
      </c>
      <c r="AB16" s="5" t="s">
        <v>14</v>
      </c>
      <c r="AC16" t="s">
        <v>1105</v>
      </c>
      <c r="AE16" s="6" t="s">
        <v>93</v>
      </c>
      <c r="AF16">
        <v>2000</v>
      </c>
    </row>
    <row r="17" spans="1:32" x14ac:dyDescent="0.25">
      <c r="A17">
        <v>16</v>
      </c>
      <c r="B17" s="1">
        <v>44974</v>
      </c>
      <c r="C17" t="s">
        <v>41</v>
      </c>
      <c r="D17" t="s">
        <v>12</v>
      </c>
      <c r="E17">
        <v>19</v>
      </c>
      <c r="F17" t="s">
        <v>17</v>
      </c>
      <c r="G17">
        <v>3</v>
      </c>
      <c r="H17">
        <v>500</v>
      </c>
      <c r="I17">
        <v>1500</v>
      </c>
      <c r="J17" t="str">
        <f t="shared" si="0"/>
        <v>18-25</v>
      </c>
      <c r="M17" s="6" t="s">
        <v>600</v>
      </c>
      <c r="N17">
        <v>2000</v>
      </c>
      <c r="P17" s="6" t="s">
        <v>13</v>
      </c>
      <c r="Q17">
        <v>184.05537459283389</v>
      </c>
      <c r="S17" s="6" t="s">
        <v>1086</v>
      </c>
      <c r="V17" s="5" t="s">
        <v>14</v>
      </c>
      <c r="W17" t="s">
        <v>1098</v>
      </c>
      <c r="Y17" s="6">
        <v>15</v>
      </c>
      <c r="Z17">
        <v>2000</v>
      </c>
      <c r="AB17" s="6">
        <v>1</v>
      </c>
      <c r="AC17">
        <v>3</v>
      </c>
      <c r="AE17" s="6" t="s">
        <v>100</v>
      </c>
      <c r="AF17">
        <v>2000</v>
      </c>
    </row>
    <row r="18" spans="1:32" x14ac:dyDescent="0.25">
      <c r="A18">
        <v>17</v>
      </c>
      <c r="B18" s="1">
        <v>45038</v>
      </c>
      <c r="C18" t="s">
        <v>42</v>
      </c>
      <c r="D18" t="s">
        <v>16</v>
      </c>
      <c r="E18">
        <v>27</v>
      </c>
      <c r="F18" t="s">
        <v>17</v>
      </c>
      <c r="G18">
        <v>4</v>
      </c>
      <c r="H18">
        <v>25</v>
      </c>
      <c r="I18">
        <v>100</v>
      </c>
      <c r="J18" t="str">
        <f t="shared" si="0"/>
        <v>26-35</v>
      </c>
      <c r="M18" s="6" t="s">
        <v>575</v>
      </c>
      <c r="N18">
        <v>2000</v>
      </c>
      <c r="P18" s="6" t="s">
        <v>20</v>
      </c>
      <c r="Q18">
        <v>181.90058479532163</v>
      </c>
      <c r="S18" s="7" t="s">
        <v>1070</v>
      </c>
      <c r="V18" s="6">
        <v>1</v>
      </c>
      <c r="W18">
        <v>150</v>
      </c>
      <c r="Y18" s="6">
        <v>16</v>
      </c>
      <c r="Z18">
        <v>1500</v>
      </c>
      <c r="AB18" s="6">
        <v>2</v>
      </c>
      <c r="AC18">
        <v>2</v>
      </c>
      <c r="AE18" s="6" t="s">
        <v>102</v>
      </c>
      <c r="AF18">
        <v>2000</v>
      </c>
    </row>
    <row r="19" spans="1:32" x14ac:dyDescent="0.25">
      <c r="A19">
        <v>18</v>
      </c>
      <c r="B19" s="1">
        <v>45046</v>
      </c>
      <c r="C19" t="s">
        <v>43</v>
      </c>
      <c r="D19" t="s">
        <v>16</v>
      </c>
      <c r="E19">
        <v>47</v>
      </c>
      <c r="F19" t="s">
        <v>20</v>
      </c>
      <c r="G19">
        <v>2</v>
      </c>
      <c r="H19">
        <v>25</v>
      </c>
      <c r="I19">
        <v>50</v>
      </c>
      <c r="J19" t="str">
        <f t="shared" si="0"/>
        <v>46-60</v>
      </c>
      <c r="M19" s="6" t="s">
        <v>370</v>
      </c>
      <c r="N19">
        <v>2000</v>
      </c>
      <c r="P19" s="6" t="s">
        <v>17</v>
      </c>
      <c r="Q19">
        <v>174.28774928774928</v>
      </c>
      <c r="S19" s="8" t="s">
        <v>1071</v>
      </c>
      <c r="T19">
        <v>1530</v>
      </c>
      <c r="V19" s="6">
        <v>2</v>
      </c>
      <c r="W19">
        <v>1000</v>
      </c>
      <c r="Y19" s="6">
        <v>17</v>
      </c>
      <c r="Z19">
        <v>100</v>
      </c>
      <c r="AB19" s="6">
        <v>3</v>
      </c>
      <c r="AC19">
        <v>1</v>
      </c>
      <c r="AE19" s="6" t="s">
        <v>117</v>
      </c>
      <c r="AF19">
        <v>2000</v>
      </c>
    </row>
    <row r="20" spans="1:32" x14ac:dyDescent="0.25">
      <c r="A20">
        <v>19</v>
      </c>
      <c r="B20" s="1">
        <v>45185</v>
      </c>
      <c r="C20" t="s">
        <v>44</v>
      </c>
      <c r="D20" t="s">
        <v>16</v>
      </c>
      <c r="E20">
        <v>62</v>
      </c>
      <c r="F20" t="s">
        <v>17</v>
      </c>
      <c r="G20">
        <v>2</v>
      </c>
      <c r="H20">
        <v>25</v>
      </c>
      <c r="I20">
        <v>50</v>
      </c>
      <c r="J20" t="b">
        <f t="shared" si="0"/>
        <v>0</v>
      </c>
      <c r="M20" s="6" t="s">
        <v>620</v>
      </c>
      <c r="N20">
        <v>2000</v>
      </c>
      <c r="P20" s="6" t="s">
        <v>24</v>
      </c>
      <c r="Q20">
        <v>179.89</v>
      </c>
      <c r="S20" s="6" t="s">
        <v>24</v>
      </c>
      <c r="T20">
        <v>456000</v>
      </c>
      <c r="V20" s="6">
        <v>3</v>
      </c>
      <c r="W20">
        <v>30</v>
      </c>
      <c r="Y20" s="6">
        <v>18</v>
      </c>
      <c r="Z20">
        <v>50</v>
      </c>
      <c r="AB20" s="6">
        <v>4</v>
      </c>
      <c r="AC20">
        <v>1</v>
      </c>
      <c r="AE20" s="6" t="s">
        <v>121</v>
      </c>
      <c r="AF20">
        <v>2000</v>
      </c>
    </row>
    <row r="21" spans="1:32" x14ac:dyDescent="0.25">
      <c r="A21">
        <v>20</v>
      </c>
      <c r="B21" s="1">
        <v>45235</v>
      </c>
      <c r="C21" t="s">
        <v>45</v>
      </c>
      <c r="D21" t="s">
        <v>12</v>
      </c>
      <c r="E21">
        <v>22</v>
      </c>
      <c r="F21" t="s">
        <v>17</v>
      </c>
      <c r="G21">
        <v>3</v>
      </c>
      <c r="H21">
        <v>300</v>
      </c>
      <c r="I21">
        <v>900</v>
      </c>
      <c r="J21" t="str">
        <f t="shared" si="0"/>
        <v>18-25</v>
      </c>
      <c r="M21" s="6" t="s">
        <v>440</v>
      </c>
      <c r="N21">
        <v>2000</v>
      </c>
      <c r="V21" s="6">
        <v>4</v>
      </c>
      <c r="W21">
        <v>500</v>
      </c>
      <c r="Y21" s="6">
        <v>19</v>
      </c>
      <c r="Z21">
        <v>50</v>
      </c>
      <c r="AB21" s="6">
        <v>5</v>
      </c>
      <c r="AC21">
        <v>2</v>
      </c>
      <c r="AE21" s="6" t="s">
        <v>137</v>
      </c>
      <c r="AF21">
        <v>2000</v>
      </c>
    </row>
    <row r="22" spans="1:32" x14ac:dyDescent="0.25">
      <c r="A22">
        <v>21</v>
      </c>
      <c r="B22" s="1">
        <v>44940</v>
      </c>
      <c r="C22" t="s">
        <v>47</v>
      </c>
      <c r="D22" t="s">
        <v>16</v>
      </c>
      <c r="E22">
        <v>50</v>
      </c>
      <c r="F22" t="s">
        <v>13</v>
      </c>
      <c r="G22">
        <v>1</v>
      </c>
      <c r="H22">
        <v>500</v>
      </c>
      <c r="I22">
        <v>500</v>
      </c>
      <c r="J22" t="str">
        <f t="shared" si="0"/>
        <v>46-60</v>
      </c>
      <c r="M22" s="6" t="s">
        <v>692</v>
      </c>
      <c r="N22">
        <v>2000</v>
      </c>
      <c r="P22" s="6" t="s">
        <v>29</v>
      </c>
      <c r="S22" t="s">
        <v>1031</v>
      </c>
      <c r="V22" s="6">
        <v>5</v>
      </c>
      <c r="W22">
        <v>100</v>
      </c>
      <c r="Y22" s="6">
        <v>20</v>
      </c>
      <c r="Z22">
        <v>900</v>
      </c>
      <c r="AB22" s="6">
        <v>6</v>
      </c>
      <c r="AC22">
        <v>1</v>
      </c>
      <c r="AE22" s="6" t="s">
        <v>146</v>
      </c>
      <c r="AF22">
        <v>2000</v>
      </c>
    </row>
    <row r="23" spans="1:32" x14ac:dyDescent="0.25">
      <c r="A23">
        <v>22</v>
      </c>
      <c r="B23" s="1">
        <v>45214</v>
      </c>
      <c r="C23" t="s">
        <v>48</v>
      </c>
      <c r="D23" t="s">
        <v>12</v>
      </c>
      <c r="E23">
        <v>18</v>
      </c>
      <c r="F23" t="s">
        <v>17</v>
      </c>
      <c r="G23">
        <v>2</v>
      </c>
      <c r="H23">
        <v>50</v>
      </c>
      <c r="I23">
        <v>100</v>
      </c>
      <c r="J23" t="str">
        <f t="shared" si="0"/>
        <v>18-25</v>
      </c>
      <c r="M23" s="6" t="s">
        <v>444</v>
      </c>
      <c r="N23">
        <v>2000</v>
      </c>
      <c r="P23" s="5" t="s">
        <v>14</v>
      </c>
      <c r="Q23" t="s">
        <v>1068</v>
      </c>
      <c r="S23" s="5" t="s">
        <v>14</v>
      </c>
      <c r="T23" t="s">
        <v>1087</v>
      </c>
      <c r="V23" s="6">
        <v>6</v>
      </c>
      <c r="W23">
        <v>30</v>
      </c>
      <c r="Y23" s="6">
        <v>21</v>
      </c>
      <c r="Z23">
        <v>500</v>
      </c>
      <c r="AB23" s="6">
        <v>7</v>
      </c>
      <c r="AC23">
        <v>2</v>
      </c>
      <c r="AE23" s="6" t="s">
        <v>152</v>
      </c>
      <c r="AF23">
        <v>2000</v>
      </c>
    </row>
    <row r="24" spans="1:32" x14ac:dyDescent="0.25">
      <c r="A24">
        <v>23</v>
      </c>
      <c r="B24" s="1">
        <v>45028</v>
      </c>
      <c r="C24" t="s">
        <v>49</v>
      </c>
      <c r="D24" t="s">
        <v>16</v>
      </c>
      <c r="E24">
        <v>35</v>
      </c>
      <c r="F24" t="s">
        <v>17</v>
      </c>
      <c r="G24">
        <v>4</v>
      </c>
      <c r="H24">
        <v>30</v>
      </c>
      <c r="I24">
        <v>120</v>
      </c>
      <c r="J24" t="str">
        <f t="shared" si="0"/>
        <v>26-35</v>
      </c>
      <c r="M24" s="6" t="s">
        <v>589</v>
      </c>
      <c r="N24">
        <v>2000</v>
      </c>
      <c r="P24" s="6" t="s">
        <v>20</v>
      </c>
      <c r="Q24">
        <v>175911</v>
      </c>
      <c r="S24" s="6" t="s">
        <v>1070</v>
      </c>
      <c r="V24" s="6">
        <v>7</v>
      </c>
      <c r="W24">
        <v>50</v>
      </c>
      <c r="Y24" s="6">
        <v>22</v>
      </c>
      <c r="Z24">
        <v>100</v>
      </c>
      <c r="AB24" s="6">
        <v>8</v>
      </c>
      <c r="AC24">
        <v>4</v>
      </c>
      <c r="AE24" s="6" t="s">
        <v>167</v>
      </c>
      <c r="AF24">
        <v>2000</v>
      </c>
    </row>
    <row r="25" spans="1:32" x14ac:dyDescent="0.25">
      <c r="A25">
        <v>24</v>
      </c>
      <c r="B25" s="1">
        <v>45259</v>
      </c>
      <c r="C25" t="s">
        <v>50</v>
      </c>
      <c r="D25" t="s">
        <v>16</v>
      </c>
      <c r="E25">
        <v>49</v>
      </c>
      <c r="F25" t="s">
        <v>17</v>
      </c>
      <c r="G25">
        <v>1</v>
      </c>
      <c r="H25">
        <v>300</v>
      </c>
      <c r="I25">
        <v>300</v>
      </c>
      <c r="J25" t="str">
        <f t="shared" si="0"/>
        <v>46-60</v>
      </c>
      <c r="M25" s="6" t="s">
        <v>448</v>
      </c>
      <c r="N25">
        <v>2000</v>
      </c>
      <c r="P25" s="6" t="s">
        <v>17</v>
      </c>
      <c r="Q25">
        <v>173725</v>
      </c>
      <c r="S25" s="7" t="s">
        <v>1069</v>
      </c>
      <c r="T25">
        <v>234</v>
      </c>
      <c r="V25" s="6">
        <v>8</v>
      </c>
      <c r="W25">
        <v>100</v>
      </c>
      <c r="Y25" s="6">
        <v>23</v>
      </c>
      <c r="Z25">
        <v>120</v>
      </c>
      <c r="AB25" s="6">
        <v>9</v>
      </c>
      <c r="AC25">
        <v>2</v>
      </c>
      <c r="AE25" s="6" t="s">
        <v>180</v>
      </c>
      <c r="AF25">
        <v>2000</v>
      </c>
    </row>
    <row r="26" spans="1:32" x14ac:dyDescent="0.25">
      <c r="A26">
        <v>25</v>
      </c>
      <c r="B26" s="1">
        <v>45286</v>
      </c>
      <c r="C26" t="s">
        <v>51</v>
      </c>
      <c r="D26" t="s">
        <v>16</v>
      </c>
      <c r="E26">
        <v>64</v>
      </c>
      <c r="F26" t="s">
        <v>13</v>
      </c>
      <c r="G26">
        <v>1</v>
      </c>
      <c r="H26">
        <v>50</v>
      </c>
      <c r="I26">
        <v>50</v>
      </c>
      <c r="J26" t="b">
        <f t="shared" si="0"/>
        <v>0</v>
      </c>
      <c r="M26" s="6" t="s">
        <v>605</v>
      </c>
      <c r="N26">
        <v>2000</v>
      </c>
      <c r="P26" s="6" t="s">
        <v>13</v>
      </c>
      <c r="Q26">
        <v>150864</v>
      </c>
      <c r="S26" s="7" t="s">
        <v>1086</v>
      </c>
      <c r="T26">
        <v>2</v>
      </c>
      <c r="V26" s="6">
        <v>9</v>
      </c>
      <c r="W26">
        <v>600</v>
      </c>
      <c r="Y26" s="6">
        <v>24</v>
      </c>
      <c r="Z26">
        <v>300</v>
      </c>
      <c r="AB26" s="6">
        <v>10</v>
      </c>
      <c r="AC26">
        <v>4</v>
      </c>
      <c r="AE26" s="6" t="s">
        <v>183</v>
      </c>
      <c r="AF26">
        <v>2000</v>
      </c>
    </row>
    <row r="27" spans="1:32" x14ac:dyDescent="0.25">
      <c r="A27">
        <v>26</v>
      </c>
      <c r="B27" s="1">
        <v>45206</v>
      </c>
      <c r="C27" t="s">
        <v>52</v>
      </c>
      <c r="D27" t="s">
        <v>16</v>
      </c>
      <c r="E27">
        <v>28</v>
      </c>
      <c r="F27" t="s">
        <v>20</v>
      </c>
      <c r="G27">
        <v>2</v>
      </c>
      <c r="H27">
        <v>500</v>
      </c>
      <c r="I27">
        <v>1000</v>
      </c>
      <c r="J27" t="str">
        <f t="shared" si="0"/>
        <v>26-35</v>
      </c>
      <c r="M27" s="6" t="s">
        <v>475</v>
      </c>
      <c r="N27">
        <v>2000</v>
      </c>
      <c r="P27" s="6" t="s">
        <v>24</v>
      </c>
      <c r="Q27">
        <v>500500</v>
      </c>
      <c r="S27" s="6" t="s">
        <v>1074</v>
      </c>
      <c r="V27" s="6">
        <v>10</v>
      </c>
      <c r="W27">
        <v>200</v>
      </c>
      <c r="Y27" s="6">
        <v>25</v>
      </c>
      <c r="Z27">
        <v>50</v>
      </c>
      <c r="AB27" s="6">
        <v>11</v>
      </c>
      <c r="AC27">
        <v>2</v>
      </c>
      <c r="AE27" s="6" t="s">
        <v>185</v>
      </c>
      <c r="AF27">
        <v>2000</v>
      </c>
    </row>
    <row r="28" spans="1:32" x14ac:dyDescent="0.25">
      <c r="A28">
        <v>27</v>
      </c>
      <c r="B28" s="1">
        <v>45141</v>
      </c>
      <c r="C28" t="s">
        <v>54</v>
      </c>
      <c r="D28" t="s">
        <v>16</v>
      </c>
      <c r="E28">
        <v>38</v>
      </c>
      <c r="F28" t="s">
        <v>13</v>
      </c>
      <c r="G28">
        <v>2</v>
      </c>
      <c r="H28">
        <v>25</v>
      </c>
      <c r="I28">
        <v>50</v>
      </c>
      <c r="J28" t="str">
        <f t="shared" si="0"/>
        <v>36-45</v>
      </c>
      <c r="M28" s="6" t="s">
        <v>623</v>
      </c>
      <c r="N28">
        <v>2000</v>
      </c>
      <c r="S28" s="7" t="s">
        <v>1069</v>
      </c>
      <c r="T28">
        <v>268</v>
      </c>
      <c r="V28" s="6">
        <v>11</v>
      </c>
      <c r="W28">
        <v>100</v>
      </c>
      <c r="Y28" s="6">
        <v>26</v>
      </c>
      <c r="Z28">
        <v>1000</v>
      </c>
      <c r="AB28" s="6">
        <v>12</v>
      </c>
      <c r="AC28">
        <v>3</v>
      </c>
      <c r="AE28" s="6" t="s">
        <v>194</v>
      </c>
      <c r="AF28">
        <v>2000</v>
      </c>
    </row>
    <row r="29" spans="1:32" x14ac:dyDescent="0.25">
      <c r="A29">
        <v>28</v>
      </c>
      <c r="B29" s="1">
        <v>45039</v>
      </c>
      <c r="C29" t="s">
        <v>56</v>
      </c>
      <c r="D29" t="s">
        <v>16</v>
      </c>
      <c r="E29">
        <v>43</v>
      </c>
      <c r="F29" t="s">
        <v>13</v>
      </c>
      <c r="G29">
        <v>1</v>
      </c>
      <c r="H29">
        <v>500</v>
      </c>
      <c r="I29">
        <v>500</v>
      </c>
      <c r="J29" t="str">
        <f t="shared" si="0"/>
        <v>36-45</v>
      </c>
      <c r="M29" s="6" t="s">
        <v>504</v>
      </c>
      <c r="N29">
        <v>2000</v>
      </c>
      <c r="P29" s="6" t="s">
        <v>1029</v>
      </c>
      <c r="S29" s="6" t="s">
        <v>1078</v>
      </c>
      <c r="V29" s="6">
        <v>12</v>
      </c>
      <c r="W29">
        <v>75</v>
      </c>
      <c r="Y29" s="6">
        <v>27</v>
      </c>
      <c r="Z29">
        <v>50</v>
      </c>
      <c r="AB29" s="6">
        <v>13</v>
      </c>
      <c r="AC29">
        <v>3</v>
      </c>
      <c r="AE29" s="6" t="s">
        <v>281</v>
      </c>
      <c r="AF29">
        <v>2000</v>
      </c>
    </row>
    <row r="30" spans="1:32" x14ac:dyDescent="0.25">
      <c r="A30">
        <v>29</v>
      </c>
      <c r="B30" s="1">
        <v>45156</v>
      </c>
      <c r="C30" t="s">
        <v>57</v>
      </c>
      <c r="D30" t="s">
        <v>16</v>
      </c>
      <c r="E30">
        <v>42</v>
      </c>
      <c r="F30" t="s">
        <v>20</v>
      </c>
      <c r="G30">
        <v>1</v>
      </c>
      <c r="H30">
        <v>30</v>
      </c>
      <c r="I30">
        <v>30</v>
      </c>
      <c r="J30" t="str">
        <f t="shared" si="0"/>
        <v>36-45</v>
      </c>
      <c r="M30" s="6" t="s">
        <v>662</v>
      </c>
      <c r="N30">
        <v>2000</v>
      </c>
      <c r="P30" s="5" t="s">
        <v>14</v>
      </c>
      <c r="Q30" t="s">
        <v>31</v>
      </c>
      <c r="S30" s="7" t="s">
        <v>1069</v>
      </c>
      <c r="T30">
        <v>231</v>
      </c>
      <c r="V30" s="6">
        <v>13</v>
      </c>
      <c r="W30">
        <v>1500</v>
      </c>
      <c r="Y30" s="6">
        <v>28</v>
      </c>
      <c r="Z30">
        <v>500</v>
      </c>
      <c r="AB30" s="6">
        <v>14</v>
      </c>
      <c r="AC30">
        <v>4</v>
      </c>
      <c r="AE30" s="6" t="s">
        <v>285</v>
      </c>
      <c r="AF30">
        <v>2000</v>
      </c>
    </row>
    <row r="31" spans="1:32" x14ac:dyDescent="0.25">
      <c r="A31">
        <v>30</v>
      </c>
      <c r="B31" s="1">
        <v>45228</v>
      </c>
      <c r="C31" t="s">
        <v>58</v>
      </c>
      <c r="D31" t="s">
        <v>16</v>
      </c>
      <c r="E31">
        <v>39</v>
      </c>
      <c r="F31" t="s">
        <v>13</v>
      </c>
      <c r="G31">
        <v>3</v>
      </c>
      <c r="H31">
        <v>300</v>
      </c>
      <c r="I31">
        <v>900</v>
      </c>
      <c r="J31" t="str">
        <f t="shared" si="0"/>
        <v>36-45</v>
      </c>
      <c r="M31" s="6" t="s">
        <v>508</v>
      </c>
      <c r="N31">
        <v>2000</v>
      </c>
      <c r="P31" s="6" t="s">
        <v>1069</v>
      </c>
      <c r="Q31">
        <v>454470</v>
      </c>
      <c r="S31" s="6" t="s">
        <v>1082</v>
      </c>
      <c r="V31" s="6">
        <v>14</v>
      </c>
      <c r="W31">
        <v>120</v>
      </c>
      <c r="Y31" s="6">
        <v>29</v>
      </c>
      <c r="Z31">
        <v>30</v>
      </c>
      <c r="AB31" s="6">
        <v>15</v>
      </c>
      <c r="AC31">
        <v>4</v>
      </c>
      <c r="AE31" s="6" t="s">
        <v>297</v>
      </c>
      <c r="AF31">
        <v>2000</v>
      </c>
    </row>
    <row r="32" spans="1:32" x14ac:dyDescent="0.25">
      <c r="A32">
        <v>31</v>
      </c>
      <c r="B32" s="1">
        <v>45069</v>
      </c>
      <c r="C32" t="s">
        <v>59</v>
      </c>
      <c r="D32" t="s">
        <v>12</v>
      </c>
      <c r="E32">
        <v>44</v>
      </c>
      <c r="F32" t="s">
        <v>20</v>
      </c>
      <c r="G32">
        <v>4</v>
      </c>
      <c r="H32">
        <v>300</v>
      </c>
      <c r="I32">
        <v>1200</v>
      </c>
      <c r="J32" t="str">
        <f t="shared" si="0"/>
        <v>36-45</v>
      </c>
      <c r="M32" s="6" t="s">
        <v>515</v>
      </c>
      <c r="N32">
        <v>2000</v>
      </c>
      <c r="P32" s="9" t="s">
        <v>1071</v>
      </c>
      <c r="Q32">
        <v>35450</v>
      </c>
      <c r="S32" s="7" t="s">
        <v>1069</v>
      </c>
      <c r="T32">
        <v>265</v>
      </c>
      <c r="V32" s="6">
        <v>15</v>
      </c>
      <c r="W32">
        <v>2000</v>
      </c>
      <c r="Y32" s="6">
        <v>30</v>
      </c>
      <c r="Z32">
        <v>900</v>
      </c>
      <c r="AB32" s="6">
        <v>16</v>
      </c>
      <c r="AC32">
        <v>3</v>
      </c>
      <c r="AE32" s="6" t="s">
        <v>309</v>
      </c>
      <c r="AF32">
        <v>2000</v>
      </c>
    </row>
    <row r="33" spans="1:32" x14ac:dyDescent="0.25">
      <c r="A33">
        <v>32</v>
      </c>
      <c r="B33" s="1">
        <v>44930</v>
      </c>
      <c r="C33" t="s">
        <v>60</v>
      </c>
      <c r="D33" t="s">
        <v>12</v>
      </c>
      <c r="E33">
        <v>30</v>
      </c>
      <c r="F33" t="s">
        <v>13</v>
      </c>
      <c r="G33">
        <v>3</v>
      </c>
      <c r="H33">
        <v>30</v>
      </c>
      <c r="I33">
        <v>90</v>
      </c>
      <c r="J33" t="str">
        <f t="shared" si="0"/>
        <v>26-35</v>
      </c>
      <c r="M33" s="6" t="s">
        <v>531</v>
      </c>
      <c r="N33">
        <v>2000</v>
      </c>
      <c r="P33" s="9" t="s">
        <v>1072</v>
      </c>
      <c r="Q33">
        <v>44060</v>
      </c>
      <c r="S33" s="6" t="s">
        <v>24</v>
      </c>
      <c r="T33">
        <v>1000</v>
      </c>
      <c r="V33" s="6">
        <v>16</v>
      </c>
      <c r="W33">
        <v>1500</v>
      </c>
      <c r="Y33" s="6">
        <v>31</v>
      </c>
      <c r="Z33">
        <v>1200</v>
      </c>
      <c r="AB33" s="6">
        <v>17</v>
      </c>
      <c r="AC33">
        <v>4</v>
      </c>
      <c r="AE33" s="6" t="s">
        <v>370</v>
      </c>
      <c r="AF33">
        <v>2000</v>
      </c>
    </row>
    <row r="34" spans="1:32" x14ac:dyDescent="0.25">
      <c r="A34">
        <v>33</v>
      </c>
      <c r="B34" s="1">
        <v>45008</v>
      </c>
      <c r="C34" t="s">
        <v>61</v>
      </c>
      <c r="D34" t="s">
        <v>16</v>
      </c>
      <c r="E34">
        <v>50</v>
      </c>
      <c r="F34" t="s">
        <v>20</v>
      </c>
      <c r="G34">
        <v>2</v>
      </c>
      <c r="H34">
        <v>50</v>
      </c>
      <c r="I34">
        <v>100</v>
      </c>
      <c r="J34" t="str">
        <f t="shared" si="0"/>
        <v>46-60</v>
      </c>
      <c r="M34" s="6" t="s">
        <v>285</v>
      </c>
      <c r="N34">
        <v>2000</v>
      </c>
      <c r="P34" s="9" t="s">
        <v>1073</v>
      </c>
      <c r="Q34">
        <v>28990</v>
      </c>
      <c r="V34" s="6">
        <v>17</v>
      </c>
      <c r="W34">
        <v>100</v>
      </c>
      <c r="Y34" s="6">
        <v>32</v>
      </c>
      <c r="Z34">
        <v>90</v>
      </c>
      <c r="AB34" s="6">
        <v>18</v>
      </c>
      <c r="AC34">
        <v>2</v>
      </c>
      <c r="AE34" s="6" t="s">
        <v>440</v>
      </c>
      <c r="AF34">
        <v>2000</v>
      </c>
    </row>
    <row r="35" spans="1:32" x14ac:dyDescent="0.25">
      <c r="A35">
        <v>34</v>
      </c>
      <c r="B35" s="1">
        <v>45284</v>
      </c>
      <c r="C35" t="s">
        <v>62</v>
      </c>
      <c r="D35" t="s">
        <v>16</v>
      </c>
      <c r="E35">
        <v>51</v>
      </c>
      <c r="F35" t="s">
        <v>17</v>
      </c>
      <c r="G35">
        <v>3</v>
      </c>
      <c r="H35">
        <v>50</v>
      </c>
      <c r="I35">
        <v>150</v>
      </c>
      <c r="J35" t="str">
        <f t="shared" si="0"/>
        <v>46-60</v>
      </c>
      <c r="M35" s="6" t="s">
        <v>180</v>
      </c>
      <c r="N35">
        <v>2000</v>
      </c>
      <c r="P35" s="9" t="s">
        <v>1075</v>
      </c>
      <c r="Q35">
        <v>33870</v>
      </c>
      <c r="S35" t="s">
        <v>1032</v>
      </c>
      <c r="V35" s="6">
        <v>18</v>
      </c>
      <c r="W35">
        <v>50</v>
      </c>
      <c r="Y35" s="6">
        <v>33</v>
      </c>
      <c r="Z35">
        <v>100</v>
      </c>
      <c r="AB35" s="6">
        <v>19</v>
      </c>
      <c r="AC35">
        <v>2</v>
      </c>
      <c r="AE35" s="6" t="s">
        <v>444</v>
      </c>
      <c r="AF35">
        <v>2000</v>
      </c>
    </row>
    <row r="36" spans="1:32" x14ac:dyDescent="0.25">
      <c r="A36">
        <v>35</v>
      </c>
      <c r="B36" s="1">
        <v>45143</v>
      </c>
      <c r="C36" t="s">
        <v>63</v>
      </c>
      <c r="D36" t="s">
        <v>16</v>
      </c>
      <c r="E36">
        <v>58</v>
      </c>
      <c r="F36" t="s">
        <v>13</v>
      </c>
      <c r="G36">
        <v>3</v>
      </c>
      <c r="H36">
        <v>300</v>
      </c>
      <c r="I36">
        <v>900</v>
      </c>
      <c r="J36" t="str">
        <f t="shared" si="0"/>
        <v>46-60</v>
      </c>
      <c r="M36" s="6" t="s">
        <v>152</v>
      </c>
      <c r="N36">
        <v>2000</v>
      </c>
      <c r="P36" s="9" t="s">
        <v>1076</v>
      </c>
      <c r="Q36">
        <v>53150</v>
      </c>
      <c r="S36" s="5" t="s">
        <v>14</v>
      </c>
      <c r="T36" t="s">
        <v>55</v>
      </c>
      <c r="V36" s="6">
        <v>19</v>
      </c>
      <c r="W36">
        <v>50</v>
      </c>
      <c r="Y36" s="6">
        <v>34</v>
      </c>
      <c r="Z36">
        <v>150</v>
      </c>
      <c r="AB36" s="6">
        <v>20</v>
      </c>
      <c r="AC36">
        <v>3</v>
      </c>
      <c r="AE36" s="6" t="s">
        <v>448</v>
      </c>
      <c r="AF36">
        <v>2000</v>
      </c>
    </row>
    <row r="37" spans="1:32" x14ac:dyDescent="0.25">
      <c r="A37">
        <v>36</v>
      </c>
      <c r="B37" s="1">
        <v>45101</v>
      </c>
      <c r="C37" t="s">
        <v>64</v>
      </c>
      <c r="D37" t="s">
        <v>12</v>
      </c>
      <c r="E37">
        <v>52</v>
      </c>
      <c r="F37" t="s">
        <v>13</v>
      </c>
      <c r="G37">
        <v>3</v>
      </c>
      <c r="H37">
        <v>300</v>
      </c>
      <c r="I37">
        <v>900</v>
      </c>
      <c r="J37" t="str">
        <f t="shared" si="0"/>
        <v>46-60</v>
      </c>
      <c r="M37" s="6" t="s">
        <v>40</v>
      </c>
      <c r="N37">
        <v>2000</v>
      </c>
      <c r="P37" s="9" t="s">
        <v>1077</v>
      </c>
      <c r="Q37">
        <v>36715</v>
      </c>
      <c r="S37" s="6" t="s">
        <v>1089</v>
      </c>
      <c r="T37">
        <v>169</v>
      </c>
      <c r="V37" s="6">
        <v>20</v>
      </c>
      <c r="W37">
        <v>900</v>
      </c>
      <c r="Y37" s="6">
        <v>35</v>
      </c>
      <c r="Z37">
        <v>900</v>
      </c>
      <c r="AB37" s="6">
        <v>21</v>
      </c>
      <c r="AC37">
        <v>1</v>
      </c>
      <c r="AE37" s="6" t="s">
        <v>475</v>
      </c>
      <c r="AF37">
        <v>2000</v>
      </c>
    </row>
    <row r="38" spans="1:32" x14ac:dyDescent="0.25">
      <c r="A38">
        <v>37</v>
      </c>
      <c r="B38" s="1">
        <v>45069</v>
      </c>
      <c r="C38" t="s">
        <v>65</v>
      </c>
      <c r="D38" t="s">
        <v>16</v>
      </c>
      <c r="E38">
        <v>18</v>
      </c>
      <c r="F38" t="s">
        <v>13</v>
      </c>
      <c r="G38">
        <v>3</v>
      </c>
      <c r="H38">
        <v>25</v>
      </c>
      <c r="I38">
        <v>75</v>
      </c>
      <c r="J38" t="str">
        <f t="shared" si="0"/>
        <v>18-25</v>
      </c>
      <c r="M38" s="6" t="s">
        <v>185</v>
      </c>
      <c r="N38">
        <v>2000</v>
      </c>
      <c r="P38" s="9" t="s">
        <v>1079</v>
      </c>
      <c r="Q38">
        <v>35465</v>
      </c>
      <c r="S38" s="6" t="s">
        <v>1090</v>
      </c>
      <c r="T38">
        <v>205</v>
      </c>
      <c r="V38" s="6">
        <v>21</v>
      </c>
      <c r="W38">
        <v>500</v>
      </c>
      <c r="Y38" s="6">
        <v>36</v>
      </c>
      <c r="Z38">
        <v>900</v>
      </c>
      <c r="AB38" s="6">
        <v>22</v>
      </c>
      <c r="AC38">
        <v>2</v>
      </c>
      <c r="AE38" s="6" t="s">
        <v>504</v>
      </c>
      <c r="AF38">
        <v>2000</v>
      </c>
    </row>
    <row r="39" spans="1:32" x14ac:dyDescent="0.25">
      <c r="A39">
        <v>38</v>
      </c>
      <c r="B39" s="1">
        <v>45006</v>
      </c>
      <c r="C39" t="s">
        <v>66</v>
      </c>
      <c r="D39" t="s">
        <v>12</v>
      </c>
      <c r="E39">
        <v>38</v>
      </c>
      <c r="F39" t="s">
        <v>13</v>
      </c>
      <c r="G39">
        <v>4</v>
      </c>
      <c r="H39">
        <v>50</v>
      </c>
      <c r="I39">
        <v>200</v>
      </c>
      <c r="J39" t="str">
        <f t="shared" si="0"/>
        <v>36-45</v>
      </c>
      <c r="M39" s="6" t="s">
        <v>93</v>
      </c>
      <c r="N39">
        <v>2000</v>
      </c>
      <c r="P39" s="9" t="s">
        <v>1080</v>
      </c>
      <c r="Q39">
        <v>36960</v>
      </c>
      <c r="S39" s="6" t="s">
        <v>1091</v>
      </c>
      <c r="T39">
        <v>202</v>
      </c>
      <c r="V39" s="6">
        <v>22</v>
      </c>
      <c r="W39">
        <v>100</v>
      </c>
      <c r="Y39" s="6">
        <v>37</v>
      </c>
      <c r="Z39">
        <v>75</v>
      </c>
      <c r="AB39" s="6">
        <v>23</v>
      </c>
      <c r="AC39">
        <v>4</v>
      </c>
      <c r="AE39" s="6" t="s">
        <v>508</v>
      </c>
      <c r="AF39">
        <v>2000</v>
      </c>
    </row>
    <row r="40" spans="1:32" x14ac:dyDescent="0.25">
      <c r="A40">
        <v>39</v>
      </c>
      <c r="B40" s="1">
        <v>45037</v>
      </c>
      <c r="C40" t="s">
        <v>67</v>
      </c>
      <c r="D40" t="s">
        <v>12</v>
      </c>
      <c r="E40">
        <v>23</v>
      </c>
      <c r="F40" t="s">
        <v>17</v>
      </c>
      <c r="G40">
        <v>4</v>
      </c>
      <c r="H40">
        <v>30</v>
      </c>
      <c r="I40">
        <v>120</v>
      </c>
      <c r="J40" t="str">
        <f t="shared" si="0"/>
        <v>18-25</v>
      </c>
      <c r="M40" s="6" t="s">
        <v>309</v>
      </c>
      <c r="N40">
        <v>2000</v>
      </c>
      <c r="P40" s="9" t="s">
        <v>1081</v>
      </c>
      <c r="Q40">
        <v>23620</v>
      </c>
      <c r="S40" s="6" t="s">
        <v>1092</v>
      </c>
      <c r="T40">
        <v>331</v>
      </c>
      <c r="V40" s="6">
        <v>23</v>
      </c>
      <c r="W40">
        <v>120</v>
      </c>
      <c r="Y40" s="6">
        <v>38</v>
      </c>
      <c r="Z40">
        <v>200</v>
      </c>
      <c r="AB40" s="6">
        <v>24</v>
      </c>
      <c r="AC40">
        <v>1</v>
      </c>
      <c r="AE40" s="6" t="s">
        <v>515</v>
      </c>
      <c r="AF40">
        <v>2000</v>
      </c>
    </row>
    <row r="41" spans="1:32" x14ac:dyDescent="0.25">
      <c r="A41">
        <v>40</v>
      </c>
      <c r="B41" s="1">
        <v>45099</v>
      </c>
      <c r="C41" t="s">
        <v>68</v>
      </c>
      <c r="D41" t="s">
        <v>12</v>
      </c>
      <c r="E41">
        <v>45</v>
      </c>
      <c r="F41" t="s">
        <v>13</v>
      </c>
      <c r="G41">
        <v>1</v>
      </c>
      <c r="H41">
        <v>50</v>
      </c>
      <c r="I41">
        <v>50</v>
      </c>
      <c r="J41" t="str">
        <f t="shared" si="0"/>
        <v>36-45</v>
      </c>
      <c r="M41" s="6" t="s">
        <v>100</v>
      </c>
      <c r="N41">
        <v>2000</v>
      </c>
      <c r="P41" s="9" t="s">
        <v>1083</v>
      </c>
      <c r="Q41">
        <v>46580</v>
      </c>
      <c r="S41" s="6" t="s">
        <v>1093</v>
      </c>
      <c r="T41">
        <v>93</v>
      </c>
      <c r="V41" s="6">
        <v>24</v>
      </c>
      <c r="W41">
        <v>300</v>
      </c>
      <c r="Y41" s="6">
        <v>39</v>
      </c>
      <c r="Z41">
        <v>120</v>
      </c>
      <c r="AB41" s="6">
        <v>25</v>
      </c>
      <c r="AC41">
        <v>1</v>
      </c>
      <c r="AE41" s="6" t="s">
        <v>531</v>
      </c>
      <c r="AF41">
        <v>2000</v>
      </c>
    </row>
    <row r="42" spans="1:32" x14ac:dyDescent="0.25">
      <c r="A42">
        <v>41</v>
      </c>
      <c r="B42" s="1">
        <v>44979</v>
      </c>
      <c r="C42" t="s">
        <v>69</v>
      </c>
      <c r="D42" t="s">
        <v>12</v>
      </c>
      <c r="E42">
        <v>34</v>
      </c>
      <c r="F42" t="s">
        <v>17</v>
      </c>
      <c r="G42">
        <v>2</v>
      </c>
      <c r="H42">
        <v>25</v>
      </c>
      <c r="I42">
        <v>50</v>
      </c>
      <c r="J42" t="str">
        <f t="shared" si="0"/>
        <v>26-35</v>
      </c>
      <c r="M42" s="6" t="s">
        <v>167</v>
      </c>
      <c r="N42">
        <v>2000</v>
      </c>
      <c r="P42" s="9" t="s">
        <v>1084</v>
      </c>
      <c r="Q42">
        <v>34920</v>
      </c>
      <c r="S42" s="6" t="s">
        <v>24</v>
      </c>
      <c r="T42">
        <v>1000</v>
      </c>
      <c r="V42" s="6">
        <v>25</v>
      </c>
      <c r="W42">
        <v>50</v>
      </c>
      <c r="Y42" s="6">
        <v>40</v>
      </c>
      <c r="Z42">
        <v>50</v>
      </c>
      <c r="AB42" s="6">
        <v>26</v>
      </c>
      <c r="AC42">
        <v>2</v>
      </c>
      <c r="AE42" s="6" t="s">
        <v>575</v>
      </c>
      <c r="AF42">
        <v>2000</v>
      </c>
    </row>
    <row r="43" spans="1:32" x14ac:dyDescent="0.25">
      <c r="A43">
        <v>42</v>
      </c>
      <c r="B43" s="1">
        <v>44974</v>
      </c>
      <c r="C43" t="s">
        <v>70</v>
      </c>
      <c r="D43" t="s">
        <v>12</v>
      </c>
      <c r="E43">
        <v>22</v>
      </c>
      <c r="F43" t="s">
        <v>17</v>
      </c>
      <c r="G43">
        <v>3</v>
      </c>
      <c r="H43">
        <v>300</v>
      </c>
      <c r="I43">
        <v>900</v>
      </c>
      <c r="J43" t="str">
        <f t="shared" si="0"/>
        <v>18-25</v>
      </c>
      <c r="M43" s="6" t="s">
        <v>102</v>
      </c>
      <c r="N43">
        <v>2000</v>
      </c>
      <c r="P43" s="9" t="s">
        <v>1085</v>
      </c>
      <c r="Q43">
        <v>44690</v>
      </c>
      <c r="V43" s="6">
        <v>26</v>
      </c>
      <c r="W43">
        <v>1000</v>
      </c>
      <c r="Y43" s="6">
        <v>41</v>
      </c>
      <c r="Z43">
        <v>50</v>
      </c>
      <c r="AB43" s="6">
        <v>27</v>
      </c>
      <c r="AC43">
        <v>2</v>
      </c>
      <c r="AE43" s="6" t="s">
        <v>589</v>
      </c>
      <c r="AF43">
        <v>2000</v>
      </c>
    </row>
    <row r="44" spans="1:32" x14ac:dyDescent="0.25">
      <c r="A44">
        <v>43</v>
      </c>
      <c r="B44" s="1">
        <v>45121</v>
      </c>
      <c r="C44" t="s">
        <v>71</v>
      </c>
      <c r="D44" t="s">
        <v>16</v>
      </c>
      <c r="E44">
        <v>48</v>
      </c>
      <c r="F44" t="s">
        <v>17</v>
      </c>
      <c r="G44">
        <v>1</v>
      </c>
      <c r="H44">
        <v>300</v>
      </c>
      <c r="I44">
        <v>300</v>
      </c>
      <c r="J44" t="str">
        <f t="shared" si="0"/>
        <v>46-60</v>
      </c>
      <c r="M44" s="6" t="s">
        <v>183</v>
      </c>
      <c r="N44">
        <v>2000</v>
      </c>
      <c r="P44" s="6" t="s">
        <v>1086</v>
      </c>
      <c r="Q44">
        <v>1530</v>
      </c>
      <c r="V44" s="6">
        <v>27</v>
      </c>
      <c r="W44">
        <v>50</v>
      </c>
      <c r="Y44" s="6">
        <v>42</v>
      </c>
      <c r="Z44">
        <v>900</v>
      </c>
      <c r="AB44" s="6">
        <v>28</v>
      </c>
      <c r="AC44">
        <v>1</v>
      </c>
      <c r="AE44" s="6" t="s">
        <v>600</v>
      </c>
      <c r="AF44">
        <v>2000</v>
      </c>
    </row>
    <row r="45" spans="1:32" x14ac:dyDescent="0.25">
      <c r="A45">
        <v>44</v>
      </c>
      <c r="B45" s="1">
        <v>44976</v>
      </c>
      <c r="C45" t="s">
        <v>72</v>
      </c>
      <c r="D45" t="s">
        <v>16</v>
      </c>
      <c r="E45">
        <v>22</v>
      </c>
      <c r="F45" t="s">
        <v>17</v>
      </c>
      <c r="G45">
        <v>1</v>
      </c>
      <c r="H45">
        <v>25</v>
      </c>
      <c r="I45">
        <v>25</v>
      </c>
      <c r="J45" t="str">
        <f t="shared" si="0"/>
        <v>18-25</v>
      </c>
      <c r="M45" s="6" t="s">
        <v>117</v>
      </c>
      <c r="N45">
        <v>2000</v>
      </c>
      <c r="P45" s="6" t="s">
        <v>24</v>
      </c>
      <c r="Q45">
        <v>456000</v>
      </c>
      <c r="V45" s="6">
        <v>28</v>
      </c>
      <c r="W45">
        <v>500</v>
      </c>
      <c r="Y45" s="6">
        <v>43</v>
      </c>
      <c r="Z45">
        <v>300</v>
      </c>
      <c r="AB45" s="6">
        <v>29</v>
      </c>
      <c r="AC45">
        <v>1</v>
      </c>
      <c r="AE45" s="6" t="s">
        <v>605</v>
      </c>
      <c r="AF45">
        <v>2000</v>
      </c>
    </row>
    <row r="46" spans="1:32" x14ac:dyDescent="0.25">
      <c r="A46">
        <v>45</v>
      </c>
      <c r="B46" s="1">
        <v>45110</v>
      </c>
      <c r="C46" t="s">
        <v>73</v>
      </c>
      <c r="D46" t="s">
        <v>16</v>
      </c>
      <c r="E46">
        <v>55</v>
      </c>
      <c r="F46" t="s">
        <v>20</v>
      </c>
      <c r="G46">
        <v>1</v>
      </c>
      <c r="H46">
        <v>30</v>
      </c>
      <c r="I46">
        <v>30</v>
      </c>
      <c r="J46" t="str">
        <f t="shared" si="0"/>
        <v>46-60</v>
      </c>
      <c r="M46" s="6" t="s">
        <v>281</v>
      </c>
      <c r="N46">
        <v>2000</v>
      </c>
      <c r="V46" s="6">
        <v>29</v>
      </c>
      <c r="W46">
        <v>30</v>
      </c>
      <c r="Y46" s="6">
        <v>44</v>
      </c>
      <c r="Z46">
        <v>25</v>
      </c>
      <c r="AB46" s="6">
        <v>30</v>
      </c>
      <c r="AC46">
        <v>3</v>
      </c>
      <c r="AE46" s="6" t="s">
        <v>620</v>
      </c>
      <c r="AF46">
        <v>2000</v>
      </c>
    </row>
    <row r="47" spans="1:32" x14ac:dyDescent="0.25">
      <c r="A47">
        <v>46</v>
      </c>
      <c r="B47" s="1">
        <v>45103</v>
      </c>
      <c r="C47" t="s">
        <v>74</v>
      </c>
      <c r="D47" t="s">
        <v>16</v>
      </c>
      <c r="E47">
        <v>20</v>
      </c>
      <c r="F47" t="s">
        <v>20</v>
      </c>
      <c r="G47">
        <v>4</v>
      </c>
      <c r="H47">
        <v>300</v>
      </c>
      <c r="I47">
        <v>1200</v>
      </c>
      <c r="J47" t="str">
        <f t="shared" si="0"/>
        <v>18-25</v>
      </c>
      <c r="M47" s="6" t="s">
        <v>121</v>
      </c>
      <c r="N47">
        <v>2000</v>
      </c>
      <c r="V47" s="6">
        <v>30</v>
      </c>
      <c r="W47">
        <v>900</v>
      </c>
      <c r="Y47" s="6">
        <v>45</v>
      </c>
      <c r="Z47">
        <v>30</v>
      </c>
      <c r="AB47" s="6">
        <v>31</v>
      </c>
      <c r="AC47">
        <v>4</v>
      </c>
      <c r="AE47" s="6" t="s">
        <v>623</v>
      </c>
      <c r="AF47">
        <v>2000</v>
      </c>
    </row>
    <row r="48" spans="1:32" x14ac:dyDescent="0.25">
      <c r="A48">
        <v>47</v>
      </c>
      <c r="B48" s="1">
        <v>45236</v>
      </c>
      <c r="C48" t="s">
        <v>75</v>
      </c>
      <c r="D48" t="s">
        <v>16</v>
      </c>
      <c r="E48">
        <v>40</v>
      </c>
      <c r="F48" t="s">
        <v>13</v>
      </c>
      <c r="G48">
        <v>3</v>
      </c>
      <c r="H48">
        <v>500</v>
      </c>
      <c r="I48">
        <v>1500</v>
      </c>
      <c r="J48" t="str">
        <f t="shared" si="0"/>
        <v>36-45</v>
      </c>
      <c r="M48" s="6" t="s">
        <v>297</v>
      </c>
      <c r="N48">
        <v>2000</v>
      </c>
      <c r="V48" s="6">
        <v>31</v>
      </c>
      <c r="W48">
        <v>1200</v>
      </c>
      <c r="Y48" s="6">
        <v>46</v>
      </c>
      <c r="Z48">
        <v>1200</v>
      </c>
      <c r="AB48" s="6">
        <v>32</v>
      </c>
      <c r="AC48">
        <v>3</v>
      </c>
      <c r="AE48" s="6" t="s">
        <v>654</v>
      </c>
      <c r="AF48">
        <v>2000</v>
      </c>
    </row>
    <row r="49" spans="1:32" x14ac:dyDescent="0.25">
      <c r="A49">
        <v>48</v>
      </c>
      <c r="B49" s="1">
        <v>45062</v>
      </c>
      <c r="C49" t="s">
        <v>76</v>
      </c>
      <c r="D49" t="s">
        <v>12</v>
      </c>
      <c r="E49">
        <v>54</v>
      </c>
      <c r="F49" t="s">
        <v>20</v>
      </c>
      <c r="G49">
        <v>3</v>
      </c>
      <c r="H49">
        <v>300</v>
      </c>
      <c r="I49">
        <v>900</v>
      </c>
      <c r="J49" t="str">
        <f t="shared" si="0"/>
        <v>46-60</v>
      </c>
      <c r="M49" s="6" t="s">
        <v>137</v>
      </c>
      <c r="N49">
        <v>2000</v>
      </c>
      <c r="V49" s="6">
        <v>32</v>
      </c>
      <c r="W49">
        <v>90</v>
      </c>
      <c r="Y49" s="6">
        <v>47</v>
      </c>
      <c r="Z49">
        <v>1500</v>
      </c>
      <c r="AB49" s="6">
        <v>33</v>
      </c>
      <c r="AC49">
        <v>2</v>
      </c>
      <c r="AE49" s="6" t="s">
        <v>662</v>
      </c>
      <c r="AF49">
        <v>2000</v>
      </c>
    </row>
    <row r="50" spans="1:32" x14ac:dyDescent="0.25">
      <c r="A50">
        <v>49</v>
      </c>
      <c r="B50" s="1">
        <v>44949</v>
      </c>
      <c r="C50" t="s">
        <v>77</v>
      </c>
      <c r="D50" t="s">
        <v>16</v>
      </c>
      <c r="E50">
        <v>54</v>
      </c>
      <c r="F50" t="s">
        <v>20</v>
      </c>
      <c r="G50">
        <v>2</v>
      </c>
      <c r="H50">
        <v>500</v>
      </c>
      <c r="I50">
        <v>1000</v>
      </c>
      <c r="J50" t="str">
        <f t="shared" si="0"/>
        <v>46-60</v>
      </c>
      <c r="M50" s="6" t="s">
        <v>146</v>
      </c>
      <c r="N50">
        <v>2000</v>
      </c>
      <c r="P50" s="4" t="s">
        <v>9</v>
      </c>
      <c r="V50" s="6">
        <v>33</v>
      </c>
      <c r="W50">
        <v>100</v>
      </c>
      <c r="Y50" s="6">
        <v>48</v>
      </c>
      <c r="Z50">
        <v>900</v>
      </c>
      <c r="AB50" s="6">
        <v>34</v>
      </c>
      <c r="AC50">
        <v>3</v>
      </c>
      <c r="AE50" s="6" t="s">
        <v>692</v>
      </c>
      <c r="AF50">
        <v>2000</v>
      </c>
    </row>
    <row r="51" spans="1:32" x14ac:dyDescent="0.25">
      <c r="A51">
        <v>50</v>
      </c>
      <c r="B51" s="1">
        <v>45162</v>
      </c>
      <c r="C51" t="s">
        <v>78</v>
      </c>
      <c r="D51" t="s">
        <v>16</v>
      </c>
      <c r="E51">
        <v>27</v>
      </c>
      <c r="F51" t="s">
        <v>13</v>
      </c>
      <c r="G51">
        <v>3</v>
      </c>
      <c r="H51">
        <v>25</v>
      </c>
      <c r="I51">
        <v>75</v>
      </c>
      <c r="J51" t="str">
        <f t="shared" si="0"/>
        <v>26-35</v>
      </c>
      <c r="M51" s="6" t="s">
        <v>194</v>
      </c>
      <c r="N51">
        <v>2000</v>
      </c>
      <c r="P51">
        <f>COUNT(A:A)</f>
        <v>1000</v>
      </c>
      <c r="V51" s="6">
        <v>34</v>
      </c>
      <c r="W51">
        <v>150</v>
      </c>
      <c r="Y51" s="6">
        <v>49</v>
      </c>
      <c r="Z51">
        <v>1000</v>
      </c>
      <c r="AB51" s="6">
        <v>35</v>
      </c>
      <c r="AC51">
        <v>3</v>
      </c>
      <c r="AE51" s="6" t="s">
        <v>728</v>
      </c>
      <c r="AF51">
        <v>2000</v>
      </c>
    </row>
    <row r="52" spans="1:32" x14ac:dyDescent="0.25">
      <c r="A52">
        <v>51</v>
      </c>
      <c r="B52" s="1">
        <v>45201</v>
      </c>
      <c r="C52" t="s">
        <v>79</v>
      </c>
      <c r="D52" t="s">
        <v>12</v>
      </c>
      <c r="E52">
        <v>27</v>
      </c>
      <c r="F52" t="s">
        <v>13</v>
      </c>
      <c r="G52">
        <v>3</v>
      </c>
      <c r="H52">
        <v>25</v>
      </c>
      <c r="I52">
        <v>75</v>
      </c>
      <c r="J52" t="str">
        <f t="shared" si="0"/>
        <v>26-35</v>
      </c>
      <c r="M52" s="6" t="s">
        <v>984</v>
      </c>
      <c r="N52">
        <v>1500</v>
      </c>
      <c r="P52" s="4" t="s">
        <v>18</v>
      </c>
      <c r="V52" s="6">
        <v>35</v>
      </c>
      <c r="W52">
        <v>900</v>
      </c>
      <c r="Y52" s="6">
        <v>50</v>
      </c>
      <c r="Z52">
        <v>75</v>
      </c>
      <c r="AB52" s="6">
        <v>36</v>
      </c>
      <c r="AC52">
        <v>3</v>
      </c>
      <c r="AE52" s="6" t="s">
        <v>759</v>
      </c>
      <c r="AF52">
        <v>2000</v>
      </c>
    </row>
    <row r="53" spans="1:32" x14ac:dyDescent="0.25">
      <c r="A53">
        <v>52</v>
      </c>
      <c r="B53" s="1">
        <v>44990</v>
      </c>
      <c r="C53" t="s">
        <v>80</v>
      </c>
      <c r="D53" t="s">
        <v>16</v>
      </c>
      <c r="E53">
        <v>36</v>
      </c>
      <c r="F53" t="s">
        <v>13</v>
      </c>
      <c r="G53">
        <v>1</v>
      </c>
      <c r="H53">
        <v>300</v>
      </c>
      <c r="I53">
        <v>300</v>
      </c>
      <c r="J53" t="str">
        <f t="shared" si="0"/>
        <v>36-45</v>
      </c>
      <c r="M53" s="6" t="s">
        <v>897</v>
      </c>
      <c r="N53">
        <v>1500</v>
      </c>
      <c r="P53">
        <f>SUM(I:I)</f>
        <v>456000</v>
      </c>
      <c r="V53" s="6">
        <v>36</v>
      </c>
      <c r="W53">
        <v>900</v>
      </c>
      <c r="Y53" s="6">
        <v>51</v>
      </c>
      <c r="Z53">
        <v>75</v>
      </c>
      <c r="AB53" s="6">
        <v>37</v>
      </c>
      <c r="AC53">
        <v>3</v>
      </c>
      <c r="AE53" s="6" t="s">
        <v>763</v>
      </c>
      <c r="AF53">
        <v>2000</v>
      </c>
    </row>
    <row r="54" spans="1:32" x14ac:dyDescent="0.25">
      <c r="A54">
        <v>53</v>
      </c>
      <c r="B54" s="1">
        <v>45120</v>
      </c>
      <c r="C54" t="s">
        <v>81</v>
      </c>
      <c r="D54" t="s">
        <v>12</v>
      </c>
      <c r="E54">
        <v>34</v>
      </c>
      <c r="F54" t="s">
        <v>20</v>
      </c>
      <c r="G54">
        <v>2</v>
      </c>
      <c r="H54">
        <v>50</v>
      </c>
      <c r="I54">
        <v>100</v>
      </c>
      <c r="J54" t="str">
        <f t="shared" si="0"/>
        <v>26-35</v>
      </c>
      <c r="M54" s="6" t="s">
        <v>871</v>
      </c>
      <c r="N54">
        <v>1500</v>
      </c>
      <c r="P54" s="4"/>
      <c r="V54" s="6">
        <v>37</v>
      </c>
      <c r="W54">
        <v>75</v>
      </c>
      <c r="Y54" s="6">
        <v>52</v>
      </c>
      <c r="Z54">
        <v>300</v>
      </c>
      <c r="AB54" s="6">
        <v>38</v>
      </c>
      <c r="AC54">
        <v>4</v>
      </c>
      <c r="AE54" s="6" t="s">
        <v>770</v>
      </c>
      <c r="AF54">
        <v>2000</v>
      </c>
    </row>
    <row r="55" spans="1:32" x14ac:dyDescent="0.25">
      <c r="A55">
        <v>54</v>
      </c>
      <c r="B55" s="1">
        <v>44967</v>
      </c>
      <c r="C55" t="s">
        <v>82</v>
      </c>
      <c r="D55" t="s">
        <v>16</v>
      </c>
      <c r="E55">
        <v>38</v>
      </c>
      <c r="F55" t="s">
        <v>20</v>
      </c>
      <c r="G55">
        <v>3</v>
      </c>
      <c r="H55">
        <v>500</v>
      </c>
      <c r="I55">
        <v>1500</v>
      </c>
      <c r="J55" t="str">
        <f t="shared" si="0"/>
        <v>36-45</v>
      </c>
      <c r="M55" s="6" t="s">
        <v>738</v>
      </c>
      <c r="N55">
        <v>1500</v>
      </c>
      <c r="V55" s="6">
        <v>38</v>
      </c>
      <c r="W55">
        <v>200</v>
      </c>
      <c r="Y55" s="6">
        <v>53</v>
      </c>
      <c r="Z55">
        <v>100</v>
      </c>
      <c r="AB55" s="6">
        <v>39</v>
      </c>
      <c r="AC55">
        <v>4</v>
      </c>
      <c r="AE55" s="6" t="s">
        <v>771</v>
      </c>
      <c r="AF55">
        <v>2000</v>
      </c>
    </row>
    <row r="56" spans="1:32" x14ac:dyDescent="0.25">
      <c r="A56">
        <v>55</v>
      </c>
      <c r="B56" s="1">
        <v>45209</v>
      </c>
      <c r="C56" t="s">
        <v>83</v>
      </c>
      <c r="D56" t="s">
        <v>12</v>
      </c>
      <c r="E56">
        <v>31</v>
      </c>
      <c r="F56" t="s">
        <v>13</v>
      </c>
      <c r="G56">
        <v>4</v>
      </c>
      <c r="H56">
        <v>30</v>
      </c>
      <c r="I56">
        <v>120</v>
      </c>
      <c r="J56" t="str">
        <f t="shared" si="0"/>
        <v>26-35</v>
      </c>
      <c r="M56" s="6" t="s">
        <v>705</v>
      </c>
      <c r="N56">
        <v>1500</v>
      </c>
      <c r="V56" s="6">
        <v>39</v>
      </c>
      <c r="W56">
        <v>120</v>
      </c>
      <c r="Y56" s="6">
        <v>54</v>
      </c>
      <c r="Z56">
        <v>1500</v>
      </c>
      <c r="AB56" s="6">
        <v>40</v>
      </c>
      <c r="AC56">
        <v>1</v>
      </c>
      <c r="AE56" s="6" t="s">
        <v>801</v>
      </c>
      <c r="AF56">
        <v>2000</v>
      </c>
    </row>
    <row r="57" spans="1:32" x14ac:dyDescent="0.25">
      <c r="A57">
        <v>56</v>
      </c>
      <c r="B57" s="1">
        <v>45077</v>
      </c>
      <c r="C57" t="s">
        <v>84</v>
      </c>
      <c r="D57" t="s">
        <v>16</v>
      </c>
      <c r="E57">
        <v>26</v>
      </c>
      <c r="F57" t="s">
        <v>17</v>
      </c>
      <c r="G57">
        <v>3</v>
      </c>
      <c r="H57">
        <v>300</v>
      </c>
      <c r="I57">
        <v>900</v>
      </c>
      <c r="J57" t="str">
        <f t="shared" si="0"/>
        <v>26-35</v>
      </c>
      <c r="M57" s="6" t="s">
        <v>739</v>
      </c>
      <c r="N57">
        <v>1500</v>
      </c>
      <c r="V57" s="6">
        <v>40</v>
      </c>
      <c r="W57">
        <v>50</v>
      </c>
      <c r="Y57" s="6">
        <v>55</v>
      </c>
      <c r="Z57">
        <v>120</v>
      </c>
      <c r="AB57" s="6">
        <v>41</v>
      </c>
      <c r="AC57">
        <v>2</v>
      </c>
      <c r="AE57" s="6" t="s">
        <v>817</v>
      </c>
      <c r="AF57">
        <v>2000</v>
      </c>
    </row>
    <row r="58" spans="1:32" x14ac:dyDescent="0.25">
      <c r="A58">
        <v>57</v>
      </c>
      <c r="B58" s="1">
        <v>45248</v>
      </c>
      <c r="C58" t="s">
        <v>85</v>
      </c>
      <c r="D58" t="s">
        <v>16</v>
      </c>
      <c r="E58">
        <v>63</v>
      </c>
      <c r="F58" t="s">
        <v>13</v>
      </c>
      <c r="G58">
        <v>1</v>
      </c>
      <c r="H58">
        <v>30</v>
      </c>
      <c r="I58">
        <v>30</v>
      </c>
      <c r="J58" t="b">
        <f t="shared" si="0"/>
        <v>0</v>
      </c>
      <c r="M58" s="6" t="s">
        <v>833</v>
      </c>
      <c r="N58">
        <v>1500</v>
      </c>
      <c r="V58" s="6">
        <v>41</v>
      </c>
      <c r="W58">
        <v>50</v>
      </c>
      <c r="Y58" s="6">
        <v>56</v>
      </c>
      <c r="Z58">
        <v>900</v>
      </c>
      <c r="AB58" s="6">
        <v>42</v>
      </c>
      <c r="AC58">
        <v>3</v>
      </c>
      <c r="AE58" s="6" t="s">
        <v>836</v>
      </c>
      <c r="AF58">
        <v>2000</v>
      </c>
    </row>
    <row r="59" spans="1:32" x14ac:dyDescent="0.25">
      <c r="A59">
        <v>58</v>
      </c>
      <c r="B59" s="1">
        <v>45243</v>
      </c>
      <c r="C59" t="s">
        <v>86</v>
      </c>
      <c r="D59" t="s">
        <v>12</v>
      </c>
      <c r="E59">
        <v>18</v>
      </c>
      <c r="F59" t="s">
        <v>17</v>
      </c>
      <c r="G59">
        <v>4</v>
      </c>
      <c r="H59">
        <v>300</v>
      </c>
      <c r="I59">
        <v>1200</v>
      </c>
      <c r="J59" t="str">
        <f t="shared" si="0"/>
        <v>18-25</v>
      </c>
      <c r="M59" s="6" t="s">
        <v>748</v>
      </c>
      <c r="N59">
        <v>1500</v>
      </c>
      <c r="V59" s="6">
        <v>42</v>
      </c>
      <c r="W59">
        <v>900</v>
      </c>
      <c r="Y59" s="6">
        <v>57</v>
      </c>
      <c r="Z59">
        <v>30</v>
      </c>
      <c r="AB59" s="6">
        <v>43</v>
      </c>
      <c r="AC59">
        <v>1</v>
      </c>
      <c r="AE59" s="6" t="s">
        <v>860</v>
      </c>
      <c r="AF59">
        <v>2000</v>
      </c>
    </row>
    <row r="60" spans="1:32" x14ac:dyDescent="0.25">
      <c r="A60">
        <v>59</v>
      </c>
      <c r="B60" s="1">
        <v>45112</v>
      </c>
      <c r="C60" t="s">
        <v>87</v>
      </c>
      <c r="D60" t="s">
        <v>12</v>
      </c>
      <c r="E60">
        <v>62</v>
      </c>
      <c r="F60" t="s">
        <v>17</v>
      </c>
      <c r="G60">
        <v>1</v>
      </c>
      <c r="H60">
        <v>50</v>
      </c>
      <c r="I60">
        <v>50</v>
      </c>
      <c r="J60" t="b">
        <f t="shared" si="0"/>
        <v>0</v>
      </c>
      <c r="M60" s="6" t="s">
        <v>887</v>
      </c>
      <c r="N60">
        <v>1500</v>
      </c>
      <c r="V60" s="6">
        <v>43</v>
      </c>
      <c r="W60">
        <v>300</v>
      </c>
      <c r="Y60" s="6">
        <v>58</v>
      </c>
      <c r="Z60">
        <v>1200</v>
      </c>
      <c r="AB60" s="6">
        <v>44</v>
      </c>
      <c r="AC60">
        <v>1</v>
      </c>
      <c r="AE60" s="6" t="s">
        <v>903</v>
      </c>
      <c r="AF60">
        <v>2000</v>
      </c>
    </row>
    <row r="61" spans="1:32" x14ac:dyDescent="0.25">
      <c r="A61">
        <v>60</v>
      </c>
      <c r="B61" s="1">
        <v>45222</v>
      </c>
      <c r="C61" t="s">
        <v>88</v>
      </c>
      <c r="D61" t="s">
        <v>12</v>
      </c>
      <c r="E61">
        <v>30</v>
      </c>
      <c r="F61" t="s">
        <v>13</v>
      </c>
      <c r="G61">
        <v>3</v>
      </c>
      <c r="H61">
        <v>50</v>
      </c>
      <c r="I61">
        <v>150</v>
      </c>
      <c r="J61" t="str">
        <f t="shared" si="0"/>
        <v>26-35</v>
      </c>
      <c r="M61" s="6" t="s">
        <v>701</v>
      </c>
      <c r="N61">
        <v>1500</v>
      </c>
      <c r="V61" s="6">
        <v>44</v>
      </c>
      <c r="W61">
        <v>25</v>
      </c>
      <c r="Y61" s="6">
        <v>59</v>
      </c>
      <c r="Z61">
        <v>50</v>
      </c>
      <c r="AB61" s="6">
        <v>45</v>
      </c>
      <c r="AC61">
        <v>1</v>
      </c>
      <c r="AE61" s="6" t="s">
        <v>955</v>
      </c>
      <c r="AF61">
        <v>2000</v>
      </c>
    </row>
    <row r="62" spans="1:32" x14ac:dyDescent="0.25">
      <c r="A62">
        <v>61</v>
      </c>
      <c r="B62" s="1">
        <v>45025</v>
      </c>
      <c r="C62" t="s">
        <v>89</v>
      </c>
      <c r="D62" t="s">
        <v>12</v>
      </c>
      <c r="E62">
        <v>21</v>
      </c>
      <c r="F62" t="s">
        <v>13</v>
      </c>
      <c r="G62">
        <v>4</v>
      </c>
      <c r="H62">
        <v>50</v>
      </c>
      <c r="I62">
        <v>200</v>
      </c>
      <c r="J62" t="str">
        <f t="shared" si="0"/>
        <v>18-25</v>
      </c>
      <c r="M62" s="6" t="s">
        <v>970</v>
      </c>
      <c r="N62">
        <v>1500</v>
      </c>
      <c r="P62" s="4" t="s">
        <v>26</v>
      </c>
      <c r="V62" s="6">
        <v>45</v>
      </c>
      <c r="W62">
        <v>30</v>
      </c>
      <c r="Y62" s="6">
        <v>60</v>
      </c>
      <c r="Z62">
        <v>150</v>
      </c>
      <c r="AB62" s="6">
        <v>46</v>
      </c>
      <c r="AC62">
        <v>4</v>
      </c>
      <c r="AE62" s="6" t="s">
        <v>974</v>
      </c>
      <c r="AF62">
        <v>2000</v>
      </c>
    </row>
    <row r="63" spans="1:32" x14ac:dyDescent="0.25">
      <c r="A63">
        <v>62</v>
      </c>
      <c r="B63" s="1">
        <v>45287</v>
      </c>
      <c r="C63" t="s">
        <v>90</v>
      </c>
      <c r="D63" t="s">
        <v>12</v>
      </c>
      <c r="E63">
        <v>18</v>
      </c>
      <c r="F63" t="s">
        <v>13</v>
      </c>
      <c r="G63">
        <v>2</v>
      </c>
      <c r="H63">
        <v>50</v>
      </c>
      <c r="I63">
        <v>100</v>
      </c>
      <c r="J63" t="str">
        <f t="shared" si="0"/>
        <v>18-25</v>
      </c>
      <c r="M63" s="6" t="s">
        <v>704</v>
      </c>
      <c r="N63">
        <v>1500</v>
      </c>
      <c r="P63">
        <f>AVERAGE(E:E)</f>
        <v>41.392000000000003</v>
      </c>
      <c r="V63" s="6">
        <v>46</v>
      </c>
      <c r="W63">
        <v>1200</v>
      </c>
      <c r="Y63" s="6">
        <v>61</v>
      </c>
      <c r="Z63">
        <v>200</v>
      </c>
      <c r="AB63" s="6">
        <v>47</v>
      </c>
      <c r="AC63">
        <v>3</v>
      </c>
      <c r="AE63" s="6" t="s">
        <v>998</v>
      </c>
      <c r="AF63">
        <v>2000</v>
      </c>
    </row>
    <row r="64" spans="1:32" x14ac:dyDescent="0.25">
      <c r="A64">
        <v>63</v>
      </c>
      <c r="B64" s="1">
        <v>44962</v>
      </c>
      <c r="C64" t="s">
        <v>91</v>
      </c>
      <c r="D64" t="s">
        <v>12</v>
      </c>
      <c r="E64">
        <v>57</v>
      </c>
      <c r="F64" t="s">
        <v>20</v>
      </c>
      <c r="G64">
        <v>2</v>
      </c>
      <c r="H64">
        <v>25</v>
      </c>
      <c r="I64">
        <v>50</v>
      </c>
      <c r="J64" t="str">
        <f t="shared" si="0"/>
        <v>46-60</v>
      </c>
      <c r="M64" s="6" t="s">
        <v>721</v>
      </c>
      <c r="N64">
        <v>1500</v>
      </c>
      <c r="P64" s="4" t="s">
        <v>37</v>
      </c>
      <c r="V64" s="6">
        <v>47</v>
      </c>
      <c r="W64">
        <v>1500</v>
      </c>
      <c r="Y64" s="6">
        <v>62</v>
      </c>
      <c r="Z64">
        <v>100</v>
      </c>
      <c r="AB64" s="6">
        <v>48</v>
      </c>
      <c r="AC64">
        <v>3</v>
      </c>
      <c r="AE64" s="6" t="s">
        <v>24</v>
      </c>
      <c r="AF64">
        <v>98000</v>
      </c>
    </row>
    <row r="65" spans="1:29" x14ac:dyDescent="0.25">
      <c r="A65">
        <v>64</v>
      </c>
      <c r="B65" s="1">
        <v>44950</v>
      </c>
      <c r="C65" t="s">
        <v>92</v>
      </c>
      <c r="D65" t="s">
        <v>12</v>
      </c>
      <c r="E65">
        <v>49</v>
      </c>
      <c r="F65" t="s">
        <v>17</v>
      </c>
      <c r="G65">
        <v>4</v>
      </c>
      <c r="H65">
        <v>25</v>
      </c>
      <c r="I65">
        <v>100</v>
      </c>
      <c r="J65" t="str">
        <f t="shared" si="0"/>
        <v>46-60</v>
      </c>
      <c r="M65" s="6" t="s">
        <v>664</v>
      </c>
      <c r="N65">
        <v>1500</v>
      </c>
      <c r="P65" s="5" t="s">
        <v>14</v>
      </c>
      <c r="Q65" t="s">
        <v>39</v>
      </c>
      <c r="V65" s="6">
        <v>48</v>
      </c>
      <c r="W65">
        <v>900</v>
      </c>
      <c r="Y65" s="6">
        <v>63</v>
      </c>
      <c r="Z65">
        <v>50</v>
      </c>
      <c r="AB65" s="6">
        <v>49</v>
      </c>
      <c r="AC65">
        <v>2</v>
      </c>
    </row>
    <row r="66" spans="1:29" x14ac:dyDescent="0.25">
      <c r="A66">
        <v>65</v>
      </c>
      <c r="B66" s="1">
        <v>45265</v>
      </c>
      <c r="C66" t="s">
        <v>93</v>
      </c>
      <c r="D66" t="s">
        <v>12</v>
      </c>
      <c r="E66">
        <v>51</v>
      </c>
      <c r="F66" t="s">
        <v>20</v>
      </c>
      <c r="G66">
        <v>4</v>
      </c>
      <c r="H66">
        <v>500</v>
      </c>
      <c r="I66">
        <v>2000</v>
      </c>
      <c r="J66" t="str">
        <f t="shared" si="0"/>
        <v>46-60</v>
      </c>
      <c r="M66" s="6" t="s">
        <v>608</v>
      </c>
      <c r="N66">
        <v>1500</v>
      </c>
      <c r="P66" s="6" t="s">
        <v>16</v>
      </c>
      <c r="Q66">
        <v>510</v>
      </c>
      <c r="V66" s="6">
        <v>49</v>
      </c>
      <c r="W66">
        <v>1000</v>
      </c>
      <c r="Y66" s="6">
        <v>64</v>
      </c>
      <c r="Z66">
        <v>100</v>
      </c>
      <c r="AB66" s="6">
        <v>50</v>
      </c>
      <c r="AC66">
        <v>3</v>
      </c>
    </row>
    <row r="67" spans="1:29" x14ac:dyDescent="0.25">
      <c r="A67">
        <v>66</v>
      </c>
      <c r="B67" s="1">
        <v>45043</v>
      </c>
      <c r="C67" t="s">
        <v>94</v>
      </c>
      <c r="D67" t="s">
        <v>16</v>
      </c>
      <c r="E67">
        <v>45</v>
      </c>
      <c r="F67" t="s">
        <v>20</v>
      </c>
      <c r="G67">
        <v>1</v>
      </c>
      <c r="H67">
        <v>30</v>
      </c>
      <c r="I67">
        <v>30</v>
      </c>
      <c r="J67" t="str">
        <f t="shared" ref="J67:J130" si="1">IF(AND(E67&gt;=18,E67&lt;=25),"18-25",IF(AND(E67&gt;=26,E67&lt;=35),"26-35",IF(AND(E67&gt;=36,E67&lt;=45),"36-45",IF(AND(E67&gt;=46,E67&lt;=60),"46-60"))))</f>
        <v>36-45</v>
      </c>
      <c r="M67" s="6" t="s">
        <v>550</v>
      </c>
      <c r="N67">
        <v>1500</v>
      </c>
      <c r="P67" s="6" t="s">
        <v>12</v>
      </c>
      <c r="Q67">
        <v>490</v>
      </c>
      <c r="V67" s="6">
        <v>50</v>
      </c>
      <c r="W67">
        <v>75</v>
      </c>
      <c r="Y67" s="6">
        <v>65</v>
      </c>
      <c r="Z67">
        <v>2000</v>
      </c>
      <c r="AB67" s="6">
        <v>51</v>
      </c>
      <c r="AC67">
        <v>3</v>
      </c>
    </row>
    <row r="68" spans="1:29" x14ac:dyDescent="0.25">
      <c r="A68">
        <v>67</v>
      </c>
      <c r="B68" s="1">
        <v>45075</v>
      </c>
      <c r="C68" t="s">
        <v>95</v>
      </c>
      <c r="D68" t="s">
        <v>16</v>
      </c>
      <c r="E68">
        <v>48</v>
      </c>
      <c r="F68" t="s">
        <v>13</v>
      </c>
      <c r="G68">
        <v>4</v>
      </c>
      <c r="H68">
        <v>300</v>
      </c>
      <c r="I68">
        <v>1200</v>
      </c>
      <c r="J68" t="str">
        <f t="shared" si="1"/>
        <v>46-60</v>
      </c>
      <c r="M68" s="6" t="s">
        <v>397</v>
      </c>
      <c r="N68">
        <v>1500</v>
      </c>
      <c r="P68" s="6" t="s">
        <v>24</v>
      </c>
      <c r="Q68">
        <v>1000</v>
      </c>
      <c r="V68" s="6">
        <v>51</v>
      </c>
      <c r="W68">
        <v>75</v>
      </c>
      <c r="Y68" s="6">
        <v>66</v>
      </c>
      <c r="Z68">
        <v>30</v>
      </c>
      <c r="AB68" s="6">
        <v>52</v>
      </c>
      <c r="AC68">
        <v>1</v>
      </c>
    </row>
    <row r="69" spans="1:29" x14ac:dyDescent="0.25">
      <c r="A69">
        <v>68</v>
      </c>
      <c r="B69" s="1">
        <v>44967</v>
      </c>
      <c r="C69" t="s">
        <v>96</v>
      </c>
      <c r="D69" t="s">
        <v>12</v>
      </c>
      <c r="E69">
        <v>25</v>
      </c>
      <c r="F69" t="s">
        <v>20</v>
      </c>
      <c r="G69">
        <v>1</v>
      </c>
      <c r="H69">
        <v>300</v>
      </c>
      <c r="I69">
        <v>300</v>
      </c>
      <c r="J69" t="str">
        <f t="shared" si="1"/>
        <v>18-25</v>
      </c>
      <c r="M69" s="6" t="s">
        <v>636</v>
      </c>
      <c r="N69">
        <v>1500</v>
      </c>
      <c r="V69" s="6">
        <v>52</v>
      </c>
      <c r="W69">
        <v>300</v>
      </c>
      <c r="Y69" s="6">
        <v>67</v>
      </c>
      <c r="Z69">
        <v>1200</v>
      </c>
      <c r="AB69" s="6">
        <v>53</v>
      </c>
      <c r="AC69">
        <v>2</v>
      </c>
    </row>
    <row r="70" spans="1:29" x14ac:dyDescent="0.25">
      <c r="A70">
        <v>69</v>
      </c>
      <c r="B70" s="1">
        <v>45046</v>
      </c>
      <c r="C70" t="s">
        <v>97</v>
      </c>
      <c r="D70" t="s">
        <v>16</v>
      </c>
      <c r="E70">
        <v>56</v>
      </c>
      <c r="F70" t="s">
        <v>13</v>
      </c>
      <c r="G70">
        <v>3</v>
      </c>
      <c r="H70">
        <v>25</v>
      </c>
      <c r="I70">
        <v>75</v>
      </c>
      <c r="J70" t="str">
        <f t="shared" si="1"/>
        <v>46-60</v>
      </c>
      <c r="M70" s="6" t="s">
        <v>400</v>
      </c>
      <c r="N70">
        <v>1500</v>
      </c>
      <c r="V70" s="6">
        <v>53</v>
      </c>
      <c r="W70">
        <v>100</v>
      </c>
      <c r="Y70" s="6">
        <v>68</v>
      </c>
      <c r="Z70">
        <v>300</v>
      </c>
      <c r="AB70" s="6">
        <v>54</v>
      </c>
      <c r="AC70">
        <v>3</v>
      </c>
    </row>
    <row r="71" spans="1:29" x14ac:dyDescent="0.25">
      <c r="A71">
        <v>70</v>
      </c>
      <c r="B71" s="1">
        <v>44978</v>
      </c>
      <c r="C71" t="s">
        <v>98</v>
      </c>
      <c r="D71" t="s">
        <v>16</v>
      </c>
      <c r="E71">
        <v>43</v>
      </c>
      <c r="F71" t="s">
        <v>17</v>
      </c>
      <c r="G71">
        <v>1</v>
      </c>
      <c r="H71">
        <v>300</v>
      </c>
      <c r="I71">
        <v>300</v>
      </c>
      <c r="J71" t="str">
        <f t="shared" si="1"/>
        <v>36-45</v>
      </c>
      <c r="M71" s="6" t="s">
        <v>535</v>
      </c>
      <c r="N71">
        <v>1500</v>
      </c>
      <c r="V71" s="6">
        <v>54</v>
      </c>
      <c r="W71">
        <v>1500</v>
      </c>
      <c r="Y71" s="6">
        <v>69</v>
      </c>
      <c r="Z71">
        <v>75</v>
      </c>
      <c r="AB71" s="6">
        <v>55</v>
      </c>
      <c r="AC71">
        <v>4</v>
      </c>
    </row>
    <row r="72" spans="1:29" x14ac:dyDescent="0.25">
      <c r="A72">
        <v>71</v>
      </c>
      <c r="B72" s="1">
        <v>45121</v>
      </c>
      <c r="C72" t="s">
        <v>99</v>
      </c>
      <c r="D72" t="s">
        <v>16</v>
      </c>
      <c r="E72">
        <v>51</v>
      </c>
      <c r="F72" t="s">
        <v>13</v>
      </c>
      <c r="G72">
        <v>4</v>
      </c>
      <c r="H72">
        <v>25</v>
      </c>
      <c r="I72">
        <v>100</v>
      </c>
      <c r="J72" t="str">
        <f t="shared" si="1"/>
        <v>46-60</v>
      </c>
      <c r="M72" s="6" t="s">
        <v>413</v>
      </c>
      <c r="N72">
        <v>1500</v>
      </c>
      <c r="V72" s="6">
        <v>55</v>
      </c>
      <c r="W72">
        <v>120</v>
      </c>
      <c r="Y72" s="6">
        <v>70</v>
      </c>
      <c r="Z72">
        <v>300</v>
      </c>
      <c r="AB72" s="6">
        <v>56</v>
      </c>
      <c r="AC72">
        <v>3</v>
      </c>
    </row>
    <row r="73" spans="1:29" x14ac:dyDescent="0.25">
      <c r="A73">
        <v>72</v>
      </c>
      <c r="B73" s="1">
        <v>45069</v>
      </c>
      <c r="C73" t="s">
        <v>100</v>
      </c>
      <c r="D73" t="s">
        <v>16</v>
      </c>
      <c r="E73">
        <v>20</v>
      </c>
      <c r="F73" t="s">
        <v>20</v>
      </c>
      <c r="G73">
        <v>4</v>
      </c>
      <c r="H73">
        <v>500</v>
      </c>
      <c r="I73">
        <v>2000</v>
      </c>
      <c r="J73" t="str">
        <f t="shared" si="1"/>
        <v>18-25</v>
      </c>
      <c r="M73" s="6" t="s">
        <v>561</v>
      </c>
      <c r="N73">
        <v>1500</v>
      </c>
      <c r="V73" s="6">
        <v>56</v>
      </c>
      <c r="W73">
        <v>900</v>
      </c>
      <c r="Y73" s="6">
        <v>71</v>
      </c>
      <c r="Z73">
        <v>100</v>
      </c>
      <c r="AB73" s="6">
        <v>57</v>
      </c>
      <c r="AC73">
        <v>1</v>
      </c>
    </row>
    <row r="74" spans="1:29" x14ac:dyDescent="0.25">
      <c r="A74">
        <v>73</v>
      </c>
      <c r="B74" s="1">
        <v>45159</v>
      </c>
      <c r="C74" t="s">
        <v>101</v>
      </c>
      <c r="D74" t="s">
        <v>12</v>
      </c>
      <c r="E74">
        <v>29</v>
      </c>
      <c r="F74" t="s">
        <v>20</v>
      </c>
      <c r="G74">
        <v>3</v>
      </c>
      <c r="H74">
        <v>30</v>
      </c>
      <c r="I74">
        <v>90</v>
      </c>
      <c r="J74" t="str">
        <f t="shared" si="1"/>
        <v>26-35</v>
      </c>
      <c r="M74" s="6" t="s">
        <v>449</v>
      </c>
      <c r="N74">
        <v>1500</v>
      </c>
      <c r="V74" s="6">
        <v>57</v>
      </c>
      <c r="W74">
        <v>30</v>
      </c>
      <c r="Y74" s="6">
        <v>72</v>
      </c>
      <c r="Z74">
        <v>2000</v>
      </c>
      <c r="AB74" s="6">
        <v>58</v>
      </c>
      <c r="AC74">
        <v>4</v>
      </c>
    </row>
    <row r="75" spans="1:29" x14ac:dyDescent="0.25">
      <c r="A75">
        <v>74</v>
      </c>
      <c r="B75" s="1">
        <v>45252</v>
      </c>
      <c r="C75" t="s">
        <v>102</v>
      </c>
      <c r="D75" t="s">
        <v>16</v>
      </c>
      <c r="E75">
        <v>18</v>
      </c>
      <c r="F75" t="s">
        <v>13</v>
      </c>
      <c r="G75">
        <v>4</v>
      </c>
      <c r="H75">
        <v>500</v>
      </c>
      <c r="I75">
        <v>2000</v>
      </c>
      <c r="J75" t="str">
        <f t="shared" si="1"/>
        <v>18-25</v>
      </c>
      <c r="M75" s="6" t="s">
        <v>384</v>
      </c>
      <c r="N75">
        <v>1500</v>
      </c>
      <c r="V75" s="6">
        <v>58</v>
      </c>
      <c r="W75">
        <v>1200</v>
      </c>
      <c r="Y75" s="6">
        <v>73</v>
      </c>
      <c r="Z75">
        <v>90</v>
      </c>
      <c r="AB75" s="6">
        <v>59</v>
      </c>
      <c r="AC75">
        <v>1</v>
      </c>
    </row>
    <row r="76" spans="1:29" x14ac:dyDescent="0.25">
      <c r="A76">
        <v>75</v>
      </c>
      <c r="B76" s="1">
        <v>45113</v>
      </c>
      <c r="C76" t="s">
        <v>103</v>
      </c>
      <c r="D76" t="s">
        <v>12</v>
      </c>
      <c r="E76">
        <v>61</v>
      </c>
      <c r="F76" t="s">
        <v>13</v>
      </c>
      <c r="G76">
        <v>4</v>
      </c>
      <c r="H76">
        <v>50</v>
      </c>
      <c r="I76">
        <v>200</v>
      </c>
      <c r="J76" t="b">
        <f t="shared" si="1"/>
        <v>0</v>
      </c>
      <c r="M76" s="6" t="s">
        <v>480</v>
      </c>
      <c r="N76">
        <v>1500</v>
      </c>
      <c r="V76" s="6">
        <v>59</v>
      </c>
      <c r="W76">
        <v>50</v>
      </c>
      <c r="Y76" s="6">
        <v>74</v>
      </c>
      <c r="Z76">
        <v>2000</v>
      </c>
      <c r="AB76" s="6">
        <v>60</v>
      </c>
      <c r="AC76">
        <v>3</v>
      </c>
    </row>
    <row r="77" spans="1:29" x14ac:dyDescent="0.25">
      <c r="A77">
        <v>76</v>
      </c>
      <c r="B77" s="1">
        <v>45010</v>
      </c>
      <c r="C77" t="s">
        <v>104</v>
      </c>
      <c r="D77" t="s">
        <v>16</v>
      </c>
      <c r="E77">
        <v>22</v>
      </c>
      <c r="F77" t="s">
        <v>20</v>
      </c>
      <c r="G77">
        <v>2</v>
      </c>
      <c r="H77">
        <v>50</v>
      </c>
      <c r="I77">
        <v>100</v>
      </c>
      <c r="J77" t="str">
        <f t="shared" si="1"/>
        <v>18-25</v>
      </c>
      <c r="M77" s="6" t="s">
        <v>639</v>
      </c>
      <c r="N77">
        <v>1500</v>
      </c>
      <c r="V77" s="6">
        <v>60</v>
      </c>
      <c r="W77">
        <v>150</v>
      </c>
      <c r="Y77" s="6">
        <v>75</v>
      </c>
      <c r="Z77">
        <v>200</v>
      </c>
      <c r="AB77" s="6">
        <v>61</v>
      </c>
      <c r="AC77">
        <v>4</v>
      </c>
    </row>
    <row r="78" spans="1:29" x14ac:dyDescent="0.25">
      <c r="A78">
        <v>77</v>
      </c>
      <c r="B78" s="1">
        <v>45116</v>
      </c>
      <c r="C78" t="s">
        <v>105</v>
      </c>
      <c r="D78" t="s">
        <v>16</v>
      </c>
      <c r="E78">
        <v>47</v>
      </c>
      <c r="F78" t="s">
        <v>17</v>
      </c>
      <c r="G78">
        <v>2</v>
      </c>
      <c r="H78">
        <v>50</v>
      </c>
      <c r="I78">
        <v>100</v>
      </c>
      <c r="J78" t="str">
        <f t="shared" si="1"/>
        <v>46-60</v>
      </c>
      <c r="M78" s="6" t="s">
        <v>491</v>
      </c>
      <c r="N78">
        <v>1500</v>
      </c>
      <c r="V78" s="6">
        <v>61</v>
      </c>
      <c r="W78">
        <v>200</v>
      </c>
      <c r="Y78" s="6">
        <v>76</v>
      </c>
      <c r="Z78">
        <v>100</v>
      </c>
      <c r="AB78" s="6">
        <v>62</v>
      </c>
      <c r="AC78">
        <v>2</v>
      </c>
    </row>
    <row r="79" spans="1:29" x14ac:dyDescent="0.25">
      <c r="A79">
        <v>78</v>
      </c>
      <c r="B79" s="1">
        <v>45108</v>
      </c>
      <c r="C79" t="s">
        <v>106</v>
      </c>
      <c r="D79" t="s">
        <v>16</v>
      </c>
      <c r="E79">
        <v>47</v>
      </c>
      <c r="F79" t="s">
        <v>17</v>
      </c>
      <c r="G79">
        <v>3</v>
      </c>
      <c r="H79">
        <v>500</v>
      </c>
      <c r="I79">
        <v>1500</v>
      </c>
      <c r="J79" t="str">
        <f t="shared" si="1"/>
        <v>46-60</v>
      </c>
      <c r="M79" s="6" t="s">
        <v>675</v>
      </c>
      <c r="N79">
        <v>1500</v>
      </c>
      <c r="V79" s="6">
        <v>62</v>
      </c>
      <c r="W79">
        <v>100</v>
      </c>
      <c r="Y79" s="6">
        <v>77</v>
      </c>
      <c r="Z79">
        <v>100</v>
      </c>
      <c r="AB79" s="6">
        <v>63</v>
      </c>
      <c r="AC79">
        <v>2</v>
      </c>
    </row>
    <row r="80" spans="1:29" x14ac:dyDescent="0.25">
      <c r="A80">
        <v>79</v>
      </c>
      <c r="B80" s="1">
        <v>45034</v>
      </c>
      <c r="C80" t="s">
        <v>107</v>
      </c>
      <c r="D80" t="s">
        <v>12</v>
      </c>
      <c r="E80">
        <v>34</v>
      </c>
      <c r="F80" t="s">
        <v>13</v>
      </c>
      <c r="G80">
        <v>1</v>
      </c>
      <c r="H80">
        <v>300</v>
      </c>
      <c r="I80">
        <v>300</v>
      </c>
      <c r="J80" t="str">
        <f t="shared" si="1"/>
        <v>26-35</v>
      </c>
      <c r="M80" s="6" t="s">
        <v>502</v>
      </c>
      <c r="N80">
        <v>1500</v>
      </c>
      <c r="V80" s="6">
        <v>63</v>
      </c>
      <c r="W80">
        <v>50</v>
      </c>
      <c r="Y80" s="6">
        <v>78</v>
      </c>
      <c r="Z80">
        <v>1500</v>
      </c>
      <c r="AB80" s="6">
        <v>64</v>
      </c>
      <c r="AC80">
        <v>4</v>
      </c>
    </row>
    <row r="81" spans="1:29" x14ac:dyDescent="0.25">
      <c r="A81">
        <v>80</v>
      </c>
      <c r="B81" s="1">
        <v>45270</v>
      </c>
      <c r="C81" t="s">
        <v>108</v>
      </c>
      <c r="D81" t="s">
        <v>16</v>
      </c>
      <c r="E81">
        <v>64</v>
      </c>
      <c r="F81" t="s">
        <v>17</v>
      </c>
      <c r="G81">
        <v>2</v>
      </c>
      <c r="H81">
        <v>30</v>
      </c>
      <c r="I81">
        <v>60</v>
      </c>
      <c r="J81" t="b">
        <f t="shared" si="1"/>
        <v>0</v>
      </c>
      <c r="M81" s="6" t="s">
        <v>534</v>
      </c>
      <c r="N81">
        <v>1500</v>
      </c>
      <c r="V81" s="6">
        <v>64</v>
      </c>
      <c r="W81">
        <v>100</v>
      </c>
      <c r="Y81" s="6">
        <v>79</v>
      </c>
      <c r="Z81">
        <v>300</v>
      </c>
      <c r="AB81" s="6">
        <v>65</v>
      </c>
      <c r="AC81">
        <v>4</v>
      </c>
    </row>
    <row r="82" spans="1:29" x14ac:dyDescent="0.25">
      <c r="A82">
        <v>81</v>
      </c>
      <c r="B82" s="1">
        <v>45063</v>
      </c>
      <c r="C82" t="s">
        <v>109</v>
      </c>
      <c r="D82" t="s">
        <v>12</v>
      </c>
      <c r="E82">
        <v>40</v>
      </c>
      <c r="F82" t="s">
        <v>20</v>
      </c>
      <c r="G82">
        <v>1</v>
      </c>
      <c r="H82">
        <v>50</v>
      </c>
      <c r="I82">
        <v>50</v>
      </c>
      <c r="J82" t="str">
        <f t="shared" si="1"/>
        <v>36-45</v>
      </c>
      <c r="M82" s="6" t="s">
        <v>241</v>
      </c>
      <c r="N82">
        <v>1500</v>
      </c>
      <c r="V82" s="6">
        <v>65</v>
      </c>
      <c r="W82">
        <v>2000</v>
      </c>
      <c r="Y82" s="6">
        <v>80</v>
      </c>
      <c r="Z82">
        <v>60</v>
      </c>
      <c r="AB82" s="6">
        <v>66</v>
      </c>
      <c r="AC82">
        <v>1</v>
      </c>
    </row>
    <row r="83" spans="1:29" x14ac:dyDescent="0.25">
      <c r="A83">
        <v>82</v>
      </c>
      <c r="B83" s="1">
        <v>45286</v>
      </c>
      <c r="C83" t="s">
        <v>110</v>
      </c>
      <c r="D83" t="s">
        <v>16</v>
      </c>
      <c r="E83">
        <v>32</v>
      </c>
      <c r="F83" t="s">
        <v>13</v>
      </c>
      <c r="G83">
        <v>4</v>
      </c>
      <c r="H83">
        <v>50</v>
      </c>
      <c r="I83">
        <v>200</v>
      </c>
      <c r="J83" t="str">
        <f t="shared" si="1"/>
        <v>26-35</v>
      </c>
      <c r="M83" s="6" t="s">
        <v>221</v>
      </c>
      <c r="N83">
        <v>1500</v>
      </c>
      <c r="V83" s="6">
        <v>66</v>
      </c>
      <c r="W83">
        <v>30</v>
      </c>
      <c r="Y83" s="6">
        <v>81</v>
      </c>
      <c r="Z83">
        <v>50</v>
      </c>
      <c r="AB83" s="6">
        <v>67</v>
      </c>
      <c r="AC83">
        <v>4</v>
      </c>
    </row>
    <row r="84" spans="1:29" x14ac:dyDescent="0.25">
      <c r="A84">
        <v>83</v>
      </c>
      <c r="B84" s="1">
        <v>45276</v>
      </c>
      <c r="C84" t="s">
        <v>111</v>
      </c>
      <c r="D84" t="s">
        <v>12</v>
      </c>
      <c r="E84">
        <v>54</v>
      </c>
      <c r="F84" t="s">
        <v>20</v>
      </c>
      <c r="G84">
        <v>2</v>
      </c>
      <c r="H84">
        <v>50</v>
      </c>
      <c r="I84">
        <v>100</v>
      </c>
      <c r="J84" t="str">
        <f t="shared" si="1"/>
        <v>46-60</v>
      </c>
      <c r="M84" s="6" t="s">
        <v>308</v>
      </c>
      <c r="N84">
        <v>1500</v>
      </c>
      <c r="V84" s="6">
        <v>67</v>
      </c>
      <c r="W84">
        <v>1200</v>
      </c>
      <c r="Y84" s="6">
        <v>82</v>
      </c>
      <c r="Z84">
        <v>200</v>
      </c>
      <c r="AB84" s="6">
        <v>68</v>
      </c>
      <c r="AC84">
        <v>1</v>
      </c>
    </row>
    <row r="85" spans="1:29" x14ac:dyDescent="0.25">
      <c r="A85">
        <v>84</v>
      </c>
      <c r="B85" s="1">
        <v>45258</v>
      </c>
      <c r="C85" t="s">
        <v>112</v>
      </c>
      <c r="D85" t="s">
        <v>16</v>
      </c>
      <c r="E85">
        <v>38</v>
      </c>
      <c r="F85" t="s">
        <v>20</v>
      </c>
      <c r="G85">
        <v>3</v>
      </c>
      <c r="H85">
        <v>30</v>
      </c>
      <c r="I85">
        <v>90</v>
      </c>
      <c r="J85" t="str">
        <f t="shared" si="1"/>
        <v>36-45</v>
      </c>
      <c r="M85" s="6" t="s">
        <v>75</v>
      </c>
      <c r="N85">
        <v>1500</v>
      </c>
      <c r="V85" s="6">
        <v>68</v>
      </c>
      <c r="W85">
        <v>300</v>
      </c>
      <c r="Y85" s="6">
        <v>83</v>
      </c>
      <c r="Z85">
        <v>100</v>
      </c>
      <c r="AB85" s="6">
        <v>69</v>
      </c>
      <c r="AC85">
        <v>3</v>
      </c>
    </row>
    <row r="86" spans="1:29" x14ac:dyDescent="0.25">
      <c r="A86">
        <v>85</v>
      </c>
      <c r="B86" s="1">
        <v>44963</v>
      </c>
      <c r="C86" t="s">
        <v>113</v>
      </c>
      <c r="D86" t="s">
        <v>12</v>
      </c>
      <c r="E86">
        <v>31</v>
      </c>
      <c r="F86" t="s">
        <v>17</v>
      </c>
      <c r="G86">
        <v>3</v>
      </c>
      <c r="H86">
        <v>50</v>
      </c>
      <c r="I86">
        <v>150</v>
      </c>
      <c r="J86" t="str">
        <f t="shared" si="1"/>
        <v>26-35</v>
      </c>
      <c r="M86" s="6" t="s">
        <v>239</v>
      </c>
      <c r="N86">
        <v>1500</v>
      </c>
      <c r="V86" s="6">
        <v>69</v>
      </c>
      <c r="W86">
        <v>75</v>
      </c>
      <c r="Y86" s="6">
        <v>84</v>
      </c>
      <c r="Z86">
        <v>90</v>
      </c>
      <c r="AB86" s="6">
        <v>70</v>
      </c>
      <c r="AC86">
        <v>1</v>
      </c>
    </row>
    <row r="87" spans="1:29" x14ac:dyDescent="0.25">
      <c r="A87">
        <v>86</v>
      </c>
      <c r="B87" s="1">
        <v>45238</v>
      </c>
      <c r="C87" t="s">
        <v>114</v>
      </c>
      <c r="D87" t="s">
        <v>12</v>
      </c>
      <c r="E87">
        <v>19</v>
      </c>
      <c r="F87" t="s">
        <v>13</v>
      </c>
      <c r="G87">
        <v>3</v>
      </c>
      <c r="H87">
        <v>30</v>
      </c>
      <c r="I87">
        <v>90</v>
      </c>
      <c r="J87" t="str">
        <f t="shared" si="1"/>
        <v>18-25</v>
      </c>
      <c r="M87" s="6" t="s">
        <v>82</v>
      </c>
      <c r="N87">
        <v>1500</v>
      </c>
      <c r="V87" s="6">
        <v>70</v>
      </c>
      <c r="W87">
        <v>300</v>
      </c>
      <c r="Y87" s="6">
        <v>85</v>
      </c>
      <c r="Z87">
        <v>150</v>
      </c>
      <c r="AB87" s="6">
        <v>71</v>
      </c>
      <c r="AC87">
        <v>4</v>
      </c>
    </row>
    <row r="88" spans="1:29" x14ac:dyDescent="0.25">
      <c r="A88">
        <v>87</v>
      </c>
      <c r="B88" s="1">
        <v>45252</v>
      </c>
      <c r="C88" t="s">
        <v>115</v>
      </c>
      <c r="D88" t="s">
        <v>16</v>
      </c>
      <c r="E88">
        <v>28</v>
      </c>
      <c r="F88" t="s">
        <v>13</v>
      </c>
      <c r="G88">
        <v>2</v>
      </c>
      <c r="H88">
        <v>50</v>
      </c>
      <c r="I88">
        <v>100</v>
      </c>
      <c r="J88" t="str">
        <f t="shared" si="1"/>
        <v>26-35</v>
      </c>
      <c r="M88" s="6" t="s">
        <v>267</v>
      </c>
      <c r="N88">
        <v>1500</v>
      </c>
      <c r="V88" s="6">
        <v>71</v>
      </c>
      <c r="W88">
        <v>100</v>
      </c>
      <c r="Y88" s="6">
        <v>86</v>
      </c>
      <c r="Z88">
        <v>90</v>
      </c>
      <c r="AB88" s="6">
        <v>72</v>
      </c>
      <c r="AC88">
        <v>4</v>
      </c>
    </row>
    <row r="89" spans="1:29" x14ac:dyDescent="0.25">
      <c r="A89">
        <v>88</v>
      </c>
      <c r="B89" s="1">
        <v>45014</v>
      </c>
      <c r="C89" t="s">
        <v>116</v>
      </c>
      <c r="D89" t="s">
        <v>12</v>
      </c>
      <c r="E89">
        <v>56</v>
      </c>
      <c r="F89" t="s">
        <v>17</v>
      </c>
      <c r="G89">
        <v>1</v>
      </c>
      <c r="H89">
        <v>500</v>
      </c>
      <c r="I89">
        <v>500</v>
      </c>
      <c r="J89" t="str">
        <f t="shared" si="1"/>
        <v>46-60</v>
      </c>
      <c r="M89" s="6" t="s">
        <v>106</v>
      </c>
      <c r="N89">
        <v>1500</v>
      </c>
      <c r="V89" s="6">
        <v>72</v>
      </c>
      <c r="W89">
        <v>2000</v>
      </c>
      <c r="Y89" s="6">
        <v>87</v>
      </c>
      <c r="Z89">
        <v>100</v>
      </c>
      <c r="AB89" s="6">
        <v>73</v>
      </c>
      <c r="AC89">
        <v>3</v>
      </c>
    </row>
    <row r="90" spans="1:29" x14ac:dyDescent="0.25">
      <c r="A90">
        <v>89</v>
      </c>
      <c r="B90" s="1">
        <v>45200</v>
      </c>
      <c r="C90" t="s">
        <v>117</v>
      </c>
      <c r="D90" t="s">
        <v>16</v>
      </c>
      <c r="E90">
        <v>55</v>
      </c>
      <c r="F90" t="s">
        <v>20</v>
      </c>
      <c r="G90">
        <v>4</v>
      </c>
      <c r="H90">
        <v>500</v>
      </c>
      <c r="I90">
        <v>2000</v>
      </c>
      <c r="J90" t="str">
        <f t="shared" si="1"/>
        <v>46-60</v>
      </c>
      <c r="M90" s="6" t="s">
        <v>197</v>
      </c>
      <c r="N90">
        <v>1500</v>
      </c>
      <c r="V90" s="6">
        <v>73</v>
      </c>
      <c r="W90">
        <v>90</v>
      </c>
      <c r="Y90" s="6">
        <v>88</v>
      </c>
      <c r="Z90">
        <v>500</v>
      </c>
      <c r="AB90" s="6">
        <v>74</v>
      </c>
      <c r="AC90">
        <v>4</v>
      </c>
    </row>
    <row r="91" spans="1:29" x14ac:dyDescent="0.25">
      <c r="A91">
        <v>90</v>
      </c>
      <c r="B91" s="1">
        <v>45052</v>
      </c>
      <c r="C91" t="s">
        <v>118</v>
      </c>
      <c r="D91" t="s">
        <v>16</v>
      </c>
      <c r="E91">
        <v>51</v>
      </c>
      <c r="F91" t="s">
        <v>20</v>
      </c>
      <c r="G91">
        <v>1</v>
      </c>
      <c r="H91">
        <v>30</v>
      </c>
      <c r="I91">
        <v>30</v>
      </c>
      <c r="J91" t="str">
        <f t="shared" si="1"/>
        <v>46-60</v>
      </c>
      <c r="M91" s="6" t="s">
        <v>139</v>
      </c>
      <c r="N91">
        <v>1500</v>
      </c>
      <c r="V91" s="6">
        <v>74</v>
      </c>
      <c r="W91">
        <v>2000</v>
      </c>
      <c r="Y91" s="6">
        <v>89</v>
      </c>
      <c r="Z91">
        <v>2000</v>
      </c>
      <c r="AB91" s="6">
        <v>75</v>
      </c>
      <c r="AC91">
        <v>4</v>
      </c>
    </row>
    <row r="92" spans="1:29" x14ac:dyDescent="0.25">
      <c r="A92">
        <v>91</v>
      </c>
      <c r="B92" s="1">
        <v>45010</v>
      </c>
      <c r="C92" t="s">
        <v>119</v>
      </c>
      <c r="D92" t="s">
        <v>16</v>
      </c>
      <c r="E92">
        <v>55</v>
      </c>
      <c r="F92" t="s">
        <v>20</v>
      </c>
      <c r="G92">
        <v>1</v>
      </c>
      <c r="H92">
        <v>500</v>
      </c>
      <c r="I92">
        <v>500</v>
      </c>
      <c r="J92" t="str">
        <f t="shared" si="1"/>
        <v>46-60</v>
      </c>
      <c r="M92" s="6" t="s">
        <v>227</v>
      </c>
      <c r="N92">
        <v>1500</v>
      </c>
      <c r="V92" s="6">
        <v>75</v>
      </c>
      <c r="W92">
        <v>200</v>
      </c>
      <c r="Y92" s="6">
        <v>90</v>
      </c>
      <c r="Z92">
        <v>30</v>
      </c>
      <c r="AB92" s="6">
        <v>76</v>
      </c>
      <c r="AC92">
        <v>2</v>
      </c>
    </row>
    <row r="93" spans="1:29" x14ac:dyDescent="0.25">
      <c r="A93">
        <v>92</v>
      </c>
      <c r="B93" s="1">
        <v>45163</v>
      </c>
      <c r="C93" t="s">
        <v>120</v>
      </c>
      <c r="D93" t="s">
        <v>16</v>
      </c>
      <c r="E93">
        <v>51</v>
      </c>
      <c r="F93" t="s">
        <v>20</v>
      </c>
      <c r="G93">
        <v>4</v>
      </c>
      <c r="H93">
        <v>30</v>
      </c>
      <c r="I93">
        <v>120</v>
      </c>
      <c r="J93" t="str">
        <f t="shared" si="1"/>
        <v>46-60</v>
      </c>
      <c r="M93" s="6" t="s">
        <v>140</v>
      </c>
      <c r="N93">
        <v>1500</v>
      </c>
      <c r="V93" s="6">
        <v>76</v>
      </c>
      <c r="W93">
        <v>100</v>
      </c>
      <c r="Y93" s="6">
        <v>91</v>
      </c>
      <c r="Z93">
        <v>500</v>
      </c>
      <c r="AB93" s="6">
        <v>77</v>
      </c>
      <c r="AC93">
        <v>2</v>
      </c>
    </row>
    <row r="94" spans="1:29" x14ac:dyDescent="0.25">
      <c r="A94">
        <v>93</v>
      </c>
      <c r="B94" s="1">
        <v>45121</v>
      </c>
      <c r="C94" t="s">
        <v>121</v>
      </c>
      <c r="D94" t="s">
        <v>16</v>
      </c>
      <c r="E94">
        <v>35</v>
      </c>
      <c r="F94" t="s">
        <v>13</v>
      </c>
      <c r="G94">
        <v>4</v>
      </c>
      <c r="H94">
        <v>500</v>
      </c>
      <c r="I94">
        <v>2000</v>
      </c>
      <c r="J94" t="str">
        <f t="shared" si="1"/>
        <v>26-35</v>
      </c>
      <c r="M94" s="6" t="s">
        <v>240</v>
      </c>
      <c r="N94">
        <v>1500</v>
      </c>
      <c r="V94" s="6">
        <v>77</v>
      </c>
      <c r="W94">
        <v>100</v>
      </c>
      <c r="Y94" s="6">
        <v>92</v>
      </c>
      <c r="Z94">
        <v>120</v>
      </c>
      <c r="AB94" s="6">
        <v>78</v>
      </c>
      <c r="AC94">
        <v>3</v>
      </c>
    </row>
    <row r="95" spans="1:29" x14ac:dyDescent="0.25">
      <c r="A95">
        <v>94</v>
      </c>
      <c r="B95" s="1">
        <v>45065</v>
      </c>
      <c r="C95" t="s">
        <v>122</v>
      </c>
      <c r="D95" t="s">
        <v>16</v>
      </c>
      <c r="E95">
        <v>47</v>
      </c>
      <c r="F95" t="s">
        <v>13</v>
      </c>
      <c r="G95">
        <v>2</v>
      </c>
      <c r="H95">
        <v>500</v>
      </c>
      <c r="I95">
        <v>1000</v>
      </c>
      <c r="J95" t="str">
        <f t="shared" si="1"/>
        <v>46-60</v>
      </c>
      <c r="M95" s="6" t="s">
        <v>143</v>
      </c>
      <c r="N95">
        <v>1500</v>
      </c>
      <c r="V95" s="6">
        <v>78</v>
      </c>
      <c r="W95">
        <v>1500</v>
      </c>
      <c r="Y95" s="6">
        <v>93</v>
      </c>
      <c r="Z95">
        <v>2000</v>
      </c>
      <c r="AB95" s="6">
        <v>79</v>
      </c>
      <c r="AC95">
        <v>1</v>
      </c>
    </row>
    <row r="96" spans="1:29" x14ac:dyDescent="0.25">
      <c r="A96">
        <v>95</v>
      </c>
      <c r="B96" s="1">
        <v>45254</v>
      </c>
      <c r="C96" t="s">
        <v>123</v>
      </c>
      <c r="D96" t="s">
        <v>16</v>
      </c>
      <c r="E96">
        <v>32</v>
      </c>
      <c r="F96" t="s">
        <v>17</v>
      </c>
      <c r="G96">
        <v>2</v>
      </c>
      <c r="H96">
        <v>30</v>
      </c>
      <c r="I96">
        <v>60</v>
      </c>
      <c r="J96" t="str">
        <f t="shared" si="1"/>
        <v>26-35</v>
      </c>
      <c r="M96" s="6" t="s">
        <v>243</v>
      </c>
      <c r="N96">
        <v>1500</v>
      </c>
      <c r="V96" s="6">
        <v>79</v>
      </c>
      <c r="W96">
        <v>300</v>
      </c>
      <c r="Y96" s="6">
        <v>94</v>
      </c>
      <c r="Z96">
        <v>1000</v>
      </c>
      <c r="AB96" s="6">
        <v>80</v>
      </c>
      <c r="AC96">
        <v>2</v>
      </c>
    </row>
    <row r="97" spans="1:29" x14ac:dyDescent="0.25">
      <c r="A97">
        <v>96</v>
      </c>
      <c r="B97" s="1">
        <v>45279</v>
      </c>
      <c r="C97" t="s">
        <v>124</v>
      </c>
      <c r="D97" t="s">
        <v>16</v>
      </c>
      <c r="E97">
        <v>44</v>
      </c>
      <c r="F97" t="s">
        <v>17</v>
      </c>
      <c r="G97">
        <v>2</v>
      </c>
      <c r="H97">
        <v>300</v>
      </c>
      <c r="I97">
        <v>600</v>
      </c>
      <c r="J97" t="str">
        <f t="shared" si="1"/>
        <v>36-45</v>
      </c>
      <c r="M97" s="6" t="s">
        <v>172</v>
      </c>
      <c r="N97">
        <v>1500</v>
      </c>
      <c r="V97" s="6">
        <v>80</v>
      </c>
      <c r="W97">
        <v>60</v>
      </c>
      <c r="Y97" s="6">
        <v>95</v>
      </c>
      <c r="Z97">
        <v>60</v>
      </c>
      <c r="AB97" s="6">
        <v>81</v>
      </c>
      <c r="AC97">
        <v>1</v>
      </c>
    </row>
    <row r="98" spans="1:29" x14ac:dyDescent="0.25">
      <c r="A98">
        <v>97</v>
      </c>
      <c r="B98" s="1">
        <v>45212</v>
      </c>
      <c r="C98" t="s">
        <v>125</v>
      </c>
      <c r="D98" t="s">
        <v>16</v>
      </c>
      <c r="E98">
        <v>51</v>
      </c>
      <c r="F98" t="s">
        <v>13</v>
      </c>
      <c r="G98">
        <v>2</v>
      </c>
      <c r="H98">
        <v>500</v>
      </c>
      <c r="I98">
        <v>1000</v>
      </c>
      <c r="J98" t="str">
        <f t="shared" si="1"/>
        <v>46-60</v>
      </c>
      <c r="M98" s="6" t="s">
        <v>41</v>
      </c>
      <c r="N98">
        <v>1500</v>
      </c>
      <c r="V98" s="6">
        <v>81</v>
      </c>
      <c r="W98">
        <v>50</v>
      </c>
      <c r="Y98" s="6">
        <v>96</v>
      </c>
      <c r="Z98">
        <v>600</v>
      </c>
      <c r="AB98" s="6">
        <v>82</v>
      </c>
      <c r="AC98">
        <v>4</v>
      </c>
    </row>
    <row r="99" spans="1:29" x14ac:dyDescent="0.25">
      <c r="A99">
        <v>98</v>
      </c>
      <c r="B99" s="1">
        <v>45039</v>
      </c>
      <c r="C99" t="s">
        <v>126</v>
      </c>
      <c r="D99" t="s">
        <v>16</v>
      </c>
      <c r="E99">
        <v>55</v>
      </c>
      <c r="F99" t="s">
        <v>13</v>
      </c>
      <c r="G99">
        <v>2</v>
      </c>
      <c r="H99">
        <v>50</v>
      </c>
      <c r="I99">
        <v>100</v>
      </c>
      <c r="J99" t="str">
        <f t="shared" si="1"/>
        <v>46-60</v>
      </c>
      <c r="M99" s="6" t="s">
        <v>36</v>
      </c>
      <c r="N99">
        <v>1500</v>
      </c>
      <c r="V99" s="6">
        <v>82</v>
      </c>
      <c r="W99">
        <v>200</v>
      </c>
      <c r="Y99" s="6">
        <v>97</v>
      </c>
      <c r="Z99">
        <v>1000</v>
      </c>
      <c r="AB99" s="6">
        <v>83</v>
      </c>
      <c r="AC99">
        <v>2</v>
      </c>
    </row>
    <row r="100" spans="1:29" x14ac:dyDescent="0.25">
      <c r="A100">
        <v>99</v>
      </c>
      <c r="B100" s="1">
        <v>45277</v>
      </c>
      <c r="C100" t="s">
        <v>127</v>
      </c>
      <c r="D100" t="s">
        <v>16</v>
      </c>
      <c r="E100">
        <v>50</v>
      </c>
      <c r="F100" t="s">
        <v>20</v>
      </c>
      <c r="G100">
        <v>4</v>
      </c>
      <c r="H100">
        <v>300</v>
      </c>
      <c r="I100">
        <v>1200</v>
      </c>
      <c r="J100" t="str">
        <f t="shared" si="1"/>
        <v>46-60</v>
      </c>
      <c r="M100" s="6" t="s">
        <v>341</v>
      </c>
      <c r="N100">
        <v>1500</v>
      </c>
      <c r="V100" s="6">
        <v>83</v>
      </c>
      <c r="W100">
        <v>100</v>
      </c>
      <c r="Y100" s="6">
        <v>98</v>
      </c>
      <c r="Z100">
        <v>100</v>
      </c>
      <c r="AB100" s="6">
        <v>84</v>
      </c>
      <c r="AC100">
        <v>3</v>
      </c>
    </row>
    <row r="101" spans="1:29" x14ac:dyDescent="0.25">
      <c r="A101">
        <v>100</v>
      </c>
      <c r="B101" s="1">
        <v>45093</v>
      </c>
      <c r="C101" t="s">
        <v>128</v>
      </c>
      <c r="D101" t="s">
        <v>12</v>
      </c>
      <c r="E101">
        <v>41</v>
      </c>
      <c r="F101" t="s">
        <v>20</v>
      </c>
      <c r="G101">
        <v>1</v>
      </c>
      <c r="H101">
        <v>30</v>
      </c>
      <c r="I101">
        <v>30</v>
      </c>
      <c r="J101" t="str">
        <f t="shared" si="1"/>
        <v>36-45</v>
      </c>
      <c r="M101" s="6" t="s">
        <v>192</v>
      </c>
      <c r="N101">
        <v>1500</v>
      </c>
      <c r="V101" s="6">
        <v>84</v>
      </c>
      <c r="W101">
        <v>90</v>
      </c>
      <c r="Y101" s="6">
        <v>99</v>
      </c>
      <c r="Z101">
        <v>1200</v>
      </c>
      <c r="AB101" s="6">
        <v>85</v>
      </c>
      <c r="AC101">
        <v>3</v>
      </c>
    </row>
    <row r="102" spans="1:29" x14ac:dyDescent="0.25">
      <c r="A102">
        <v>101</v>
      </c>
      <c r="B102" s="1">
        <v>44955</v>
      </c>
      <c r="C102" t="s">
        <v>129</v>
      </c>
      <c r="D102" t="s">
        <v>12</v>
      </c>
      <c r="E102">
        <v>32</v>
      </c>
      <c r="F102" t="s">
        <v>17</v>
      </c>
      <c r="G102">
        <v>2</v>
      </c>
      <c r="H102">
        <v>300</v>
      </c>
      <c r="I102">
        <v>600</v>
      </c>
      <c r="J102" t="str">
        <f t="shared" si="1"/>
        <v>26-35</v>
      </c>
      <c r="M102" s="6" t="s">
        <v>890</v>
      </c>
      <c r="N102">
        <v>1200</v>
      </c>
      <c r="V102" s="6">
        <v>85</v>
      </c>
      <c r="W102">
        <v>150</v>
      </c>
      <c r="Y102" s="6">
        <v>100</v>
      </c>
      <c r="Z102">
        <v>30</v>
      </c>
      <c r="AB102" s="6">
        <v>86</v>
      </c>
      <c r="AC102">
        <v>3</v>
      </c>
    </row>
    <row r="103" spans="1:29" x14ac:dyDescent="0.25">
      <c r="A103">
        <v>102</v>
      </c>
      <c r="B103" s="1">
        <v>45044</v>
      </c>
      <c r="C103" t="s">
        <v>130</v>
      </c>
      <c r="D103" t="s">
        <v>16</v>
      </c>
      <c r="E103">
        <v>47</v>
      </c>
      <c r="F103" t="s">
        <v>13</v>
      </c>
      <c r="G103">
        <v>2</v>
      </c>
      <c r="H103">
        <v>25</v>
      </c>
      <c r="I103">
        <v>50</v>
      </c>
      <c r="J103" t="str">
        <f t="shared" si="1"/>
        <v>46-60</v>
      </c>
      <c r="M103" s="6" t="s">
        <v>971</v>
      </c>
      <c r="N103">
        <v>1200</v>
      </c>
      <c r="V103" s="6">
        <v>86</v>
      </c>
      <c r="W103">
        <v>90</v>
      </c>
      <c r="Y103" s="6">
        <v>101</v>
      </c>
      <c r="Z103">
        <v>600</v>
      </c>
      <c r="AB103" s="6">
        <v>87</v>
      </c>
      <c r="AC103">
        <v>2</v>
      </c>
    </row>
    <row r="104" spans="1:29" x14ac:dyDescent="0.25">
      <c r="A104">
        <v>103</v>
      </c>
      <c r="B104" s="1">
        <v>44943</v>
      </c>
      <c r="C104" t="s">
        <v>131</v>
      </c>
      <c r="D104" t="s">
        <v>16</v>
      </c>
      <c r="E104">
        <v>59</v>
      </c>
      <c r="F104" t="s">
        <v>17</v>
      </c>
      <c r="G104">
        <v>1</v>
      </c>
      <c r="H104">
        <v>25</v>
      </c>
      <c r="I104">
        <v>25</v>
      </c>
      <c r="J104" t="str">
        <f t="shared" si="1"/>
        <v>46-60</v>
      </c>
      <c r="M104" s="6" t="s">
        <v>936</v>
      </c>
      <c r="N104">
        <v>1200</v>
      </c>
      <c r="V104" s="6">
        <v>87</v>
      </c>
      <c r="W104">
        <v>100</v>
      </c>
      <c r="Y104" s="6">
        <v>102</v>
      </c>
      <c r="Z104">
        <v>50</v>
      </c>
      <c r="AB104" s="6">
        <v>88</v>
      </c>
      <c r="AC104">
        <v>1</v>
      </c>
    </row>
    <row r="105" spans="1:29" x14ac:dyDescent="0.25">
      <c r="A105">
        <v>104</v>
      </c>
      <c r="B105" s="1">
        <v>45088</v>
      </c>
      <c r="C105" t="s">
        <v>132</v>
      </c>
      <c r="D105" t="s">
        <v>16</v>
      </c>
      <c r="E105">
        <v>34</v>
      </c>
      <c r="F105" t="s">
        <v>13</v>
      </c>
      <c r="G105">
        <v>2</v>
      </c>
      <c r="H105">
        <v>500</v>
      </c>
      <c r="I105">
        <v>1000</v>
      </c>
      <c r="J105" t="str">
        <f t="shared" si="1"/>
        <v>26-35</v>
      </c>
      <c r="M105" s="6" t="s">
        <v>754</v>
      </c>
      <c r="N105">
        <v>1200</v>
      </c>
      <c r="V105" s="6">
        <v>88</v>
      </c>
      <c r="W105">
        <v>500</v>
      </c>
      <c r="Y105" s="6">
        <v>103</v>
      </c>
      <c r="Z105">
        <v>25</v>
      </c>
      <c r="AB105" s="6">
        <v>89</v>
      </c>
      <c r="AC105">
        <v>4</v>
      </c>
    </row>
    <row r="106" spans="1:29" x14ac:dyDescent="0.25">
      <c r="A106">
        <v>105</v>
      </c>
      <c r="B106" s="1">
        <v>45132</v>
      </c>
      <c r="C106" t="s">
        <v>133</v>
      </c>
      <c r="D106" t="s">
        <v>16</v>
      </c>
      <c r="E106">
        <v>22</v>
      </c>
      <c r="F106" t="s">
        <v>20</v>
      </c>
      <c r="G106">
        <v>1</v>
      </c>
      <c r="H106">
        <v>500</v>
      </c>
      <c r="I106">
        <v>500</v>
      </c>
      <c r="J106" t="str">
        <f t="shared" si="1"/>
        <v>18-25</v>
      </c>
      <c r="M106" s="6" t="s">
        <v>784</v>
      </c>
      <c r="N106">
        <v>1200</v>
      </c>
      <c r="V106" s="6">
        <v>89</v>
      </c>
      <c r="W106">
        <v>2000</v>
      </c>
      <c r="Y106" s="6">
        <v>104</v>
      </c>
      <c r="Z106">
        <v>1000</v>
      </c>
      <c r="AB106" s="6">
        <v>90</v>
      </c>
      <c r="AC106">
        <v>1</v>
      </c>
    </row>
    <row r="107" spans="1:29" x14ac:dyDescent="0.25">
      <c r="A107">
        <v>106</v>
      </c>
      <c r="B107" s="1">
        <v>45064</v>
      </c>
      <c r="C107" t="s">
        <v>134</v>
      </c>
      <c r="D107" t="s">
        <v>16</v>
      </c>
      <c r="E107">
        <v>46</v>
      </c>
      <c r="F107" t="s">
        <v>17</v>
      </c>
      <c r="G107">
        <v>1</v>
      </c>
      <c r="H107">
        <v>50</v>
      </c>
      <c r="I107">
        <v>50</v>
      </c>
      <c r="J107" t="str">
        <f t="shared" si="1"/>
        <v>46-60</v>
      </c>
      <c r="M107" s="6" t="s">
        <v>697</v>
      </c>
      <c r="N107">
        <v>1200</v>
      </c>
      <c r="V107" s="6">
        <v>90</v>
      </c>
      <c r="W107">
        <v>30</v>
      </c>
      <c r="Y107" s="6">
        <v>105</v>
      </c>
      <c r="Z107">
        <v>500</v>
      </c>
      <c r="AB107" s="6">
        <v>91</v>
      </c>
      <c r="AC107">
        <v>1</v>
      </c>
    </row>
    <row r="108" spans="1:29" x14ac:dyDescent="0.25">
      <c r="A108">
        <v>107</v>
      </c>
      <c r="B108" s="1">
        <v>44960</v>
      </c>
      <c r="C108" t="s">
        <v>135</v>
      </c>
      <c r="D108" t="s">
        <v>16</v>
      </c>
      <c r="E108">
        <v>21</v>
      </c>
      <c r="F108" t="s">
        <v>17</v>
      </c>
      <c r="G108">
        <v>4</v>
      </c>
      <c r="H108">
        <v>300</v>
      </c>
      <c r="I108">
        <v>1200</v>
      </c>
      <c r="J108" t="str">
        <f t="shared" si="1"/>
        <v>18-25</v>
      </c>
      <c r="M108" s="6" t="s">
        <v>785</v>
      </c>
      <c r="N108">
        <v>1200</v>
      </c>
      <c r="V108" s="6">
        <v>91</v>
      </c>
      <c r="W108">
        <v>500</v>
      </c>
      <c r="Y108" s="6">
        <v>106</v>
      </c>
      <c r="Z108">
        <v>50</v>
      </c>
      <c r="AB108" s="6">
        <v>92</v>
      </c>
      <c r="AC108">
        <v>4</v>
      </c>
    </row>
    <row r="109" spans="1:29" x14ac:dyDescent="0.25">
      <c r="A109">
        <v>108</v>
      </c>
      <c r="B109" s="1">
        <v>45035</v>
      </c>
      <c r="C109" t="s">
        <v>136</v>
      </c>
      <c r="D109" t="s">
        <v>16</v>
      </c>
      <c r="E109">
        <v>27</v>
      </c>
      <c r="F109" t="s">
        <v>13</v>
      </c>
      <c r="G109">
        <v>3</v>
      </c>
      <c r="H109">
        <v>25</v>
      </c>
      <c r="I109">
        <v>75</v>
      </c>
      <c r="J109" t="str">
        <f t="shared" si="1"/>
        <v>26-35</v>
      </c>
      <c r="M109" s="6" t="s">
        <v>867</v>
      </c>
      <c r="N109">
        <v>1200</v>
      </c>
      <c r="V109" s="6">
        <v>92</v>
      </c>
      <c r="W109">
        <v>120</v>
      </c>
      <c r="Y109" s="6">
        <v>107</v>
      </c>
      <c r="Z109">
        <v>1200</v>
      </c>
      <c r="AB109" s="6">
        <v>93</v>
      </c>
      <c r="AC109">
        <v>4</v>
      </c>
    </row>
    <row r="110" spans="1:29" x14ac:dyDescent="0.25">
      <c r="A110">
        <v>109</v>
      </c>
      <c r="B110" s="1">
        <v>45217</v>
      </c>
      <c r="C110" t="s">
        <v>137</v>
      </c>
      <c r="D110" t="s">
        <v>16</v>
      </c>
      <c r="E110">
        <v>34</v>
      </c>
      <c r="F110" t="s">
        <v>20</v>
      </c>
      <c r="G110">
        <v>4</v>
      </c>
      <c r="H110">
        <v>500</v>
      </c>
      <c r="I110">
        <v>2000</v>
      </c>
      <c r="J110" t="str">
        <f t="shared" si="1"/>
        <v>26-35</v>
      </c>
      <c r="M110" s="6" t="s">
        <v>956</v>
      </c>
      <c r="N110">
        <v>1200</v>
      </c>
      <c r="V110" s="6">
        <v>93</v>
      </c>
      <c r="W110">
        <v>2000</v>
      </c>
      <c r="Y110" s="6">
        <v>108</v>
      </c>
      <c r="Z110">
        <v>75</v>
      </c>
      <c r="AB110" s="6">
        <v>94</v>
      </c>
      <c r="AC110">
        <v>2</v>
      </c>
    </row>
    <row r="111" spans="1:29" x14ac:dyDescent="0.25">
      <c r="A111">
        <v>110</v>
      </c>
      <c r="B111" s="1">
        <v>45088</v>
      </c>
      <c r="C111" t="s">
        <v>138</v>
      </c>
      <c r="D111" t="s">
        <v>12</v>
      </c>
      <c r="E111">
        <v>27</v>
      </c>
      <c r="F111" t="s">
        <v>17</v>
      </c>
      <c r="G111">
        <v>3</v>
      </c>
      <c r="H111">
        <v>300</v>
      </c>
      <c r="I111">
        <v>900</v>
      </c>
      <c r="J111" t="str">
        <f t="shared" si="1"/>
        <v>26-35</v>
      </c>
      <c r="M111" s="6" t="s">
        <v>757</v>
      </c>
      <c r="N111">
        <v>1200</v>
      </c>
      <c r="V111" s="6">
        <v>94</v>
      </c>
      <c r="W111">
        <v>1000</v>
      </c>
      <c r="Y111" s="6">
        <v>109</v>
      </c>
      <c r="Z111">
        <v>2000</v>
      </c>
      <c r="AB111" s="6">
        <v>95</v>
      </c>
      <c r="AC111">
        <v>2</v>
      </c>
    </row>
    <row r="112" spans="1:29" x14ac:dyDescent="0.25">
      <c r="A112">
        <v>111</v>
      </c>
      <c r="B112" s="1">
        <v>45035</v>
      </c>
      <c r="C112" t="s">
        <v>139</v>
      </c>
      <c r="D112" t="s">
        <v>16</v>
      </c>
      <c r="E112">
        <v>34</v>
      </c>
      <c r="F112" t="s">
        <v>20</v>
      </c>
      <c r="G112">
        <v>3</v>
      </c>
      <c r="H112">
        <v>500</v>
      </c>
      <c r="I112">
        <v>1500</v>
      </c>
      <c r="J112" t="str">
        <f t="shared" si="1"/>
        <v>26-35</v>
      </c>
      <c r="M112" s="6" t="s">
        <v>744</v>
      </c>
      <c r="N112">
        <v>1200</v>
      </c>
      <c r="V112" s="6">
        <v>95</v>
      </c>
      <c r="W112">
        <v>60</v>
      </c>
      <c r="Y112" s="6">
        <v>110</v>
      </c>
      <c r="Z112">
        <v>900</v>
      </c>
      <c r="AB112" s="6">
        <v>96</v>
      </c>
      <c r="AC112">
        <v>2</v>
      </c>
    </row>
    <row r="113" spans="1:29" x14ac:dyDescent="0.25">
      <c r="A113">
        <v>112</v>
      </c>
      <c r="B113" s="1">
        <v>45262</v>
      </c>
      <c r="C113" t="s">
        <v>140</v>
      </c>
      <c r="D113" t="s">
        <v>12</v>
      </c>
      <c r="E113">
        <v>37</v>
      </c>
      <c r="F113" t="s">
        <v>17</v>
      </c>
      <c r="G113">
        <v>3</v>
      </c>
      <c r="H113">
        <v>500</v>
      </c>
      <c r="I113">
        <v>1500</v>
      </c>
      <c r="J113" t="str">
        <f t="shared" si="1"/>
        <v>36-45</v>
      </c>
      <c r="M113" s="6" t="s">
        <v>875</v>
      </c>
      <c r="N113">
        <v>1200</v>
      </c>
      <c r="V113" s="6">
        <v>96</v>
      </c>
      <c r="W113">
        <v>600</v>
      </c>
      <c r="Y113" s="6">
        <v>111</v>
      </c>
      <c r="Z113">
        <v>1500</v>
      </c>
      <c r="AB113" s="6">
        <v>97</v>
      </c>
      <c r="AC113">
        <v>2</v>
      </c>
    </row>
    <row r="114" spans="1:29" x14ac:dyDescent="0.25">
      <c r="A114">
        <v>113</v>
      </c>
      <c r="B114" s="1">
        <v>45182</v>
      </c>
      <c r="C114" t="s">
        <v>141</v>
      </c>
      <c r="D114" t="s">
        <v>16</v>
      </c>
      <c r="E114">
        <v>41</v>
      </c>
      <c r="F114" t="s">
        <v>20</v>
      </c>
      <c r="G114">
        <v>2</v>
      </c>
      <c r="H114">
        <v>25</v>
      </c>
      <c r="I114">
        <v>50</v>
      </c>
      <c r="J114" t="str">
        <f t="shared" si="1"/>
        <v>36-45</v>
      </c>
      <c r="M114" s="6" t="s">
        <v>710</v>
      </c>
      <c r="N114">
        <v>1200</v>
      </c>
      <c r="V114" s="6">
        <v>97</v>
      </c>
      <c r="W114">
        <v>1000</v>
      </c>
      <c r="Y114" s="6">
        <v>112</v>
      </c>
      <c r="Z114">
        <v>1500</v>
      </c>
      <c r="AB114" s="6">
        <v>98</v>
      </c>
      <c r="AC114">
        <v>2</v>
      </c>
    </row>
    <row r="115" spans="1:29" x14ac:dyDescent="0.25">
      <c r="A115">
        <v>114</v>
      </c>
      <c r="B115" s="1">
        <v>45129</v>
      </c>
      <c r="C115" t="s">
        <v>142</v>
      </c>
      <c r="D115" t="s">
        <v>16</v>
      </c>
      <c r="E115">
        <v>22</v>
      </c>
      <c r="F115" t="s">
        <v>13</v>
      </c>
      <c r="G115">
        <v>4</v>
      </c>
      <c r="H115">
        <v>25</v>
      </c>
      <c r="I115">
        <v>100</v>
      </c>
      <c r="J115" t="str">
        <f t="shared" si="1"/>
        <v>18-25</v>
      </c>
      <c r="M115" s="6" t="s">
        <v>828</v>
      </c>
      <c r="N115">
        <v>1200</v>
      </c>
      <c r="V115" s="6">
        <v>98</v>
      </c>
      <c r="W115">
        <v>100</v>
      </c>
      <c r="Y115" s="6">
        <v>113</v>
      </c>
      <c r="Z115">
        <v>50</v>
      </c>
      <c r="AB115" s="6">
        <v>99</v>
      </c>
      <c r="AC115">
        <v>4</v>
      </c>
    </row>
    <row r="116" spans="1:29" x14ac:dyDescent="0.25">
      <c r="A116">
        <v>115</v>
      </c>
      <c r="B116" s="1">
        <v>45256</v>
      </c>
      <c r="C116" t="s">
        <v>143</v>
      </c>
      <c r="D116" t="s">
        <v>12</v>
      </c>
      <c r="E116">
        <v>51</v>
      </c>
      <c r="F116" t="s">
        <v>17</v>
      </c>
      <c r="G116">
        <v>3</v>
      </c>
      <c r="H116">
        <v>500</v>
      </c>
      <c r="I116">
        <v>1500</v>
      </c>
      <c r="J116" t="str">
        <f t="shared" si="1"/>
        <v>46-60</v>
      </c>
      <c r="M116" s="6" t="s">
        <v>856</v>
      </c>
      <c r="N116">
        <v>1200</v>
      </c>
      <c r="V116" s="6">
        <v>99</v>
      </c>
      <c r="W116">
        <v>1200</v>
      </c>
      <c r="Y116" s="6">
        <v>114</v>
      </c>
      <c r="Z116">
        <v>100</v>
      </c>
      <c r="AB116" s="6">
        <v>100</v>
      </c>
      <c r="AC116">
        <v>1</v>
      </c>
    </row>
    <row r="117" spans="1:29" x14ac:dyDescent="0.25">
      <c r="A117">
        <v>116</v>
      </c>
      <c r="B117" s="1">
        <v>45161</v>
      </c>
      <c r="C117" t="s">
        <v>144</v>
      </c>
      <c r="D117" t="s">
        <v>16</v>
      </c>
      <c r="E117">
        <v>23</v>
      </c>
      <c r="F117" t="s">
        <v>17</v>
      </c>
      <c r="G117">
        <v>1</v>
      </c>
      <c r="H117">
        <v>30</v>
      </c>
      <c r="I117">
        <v>30</v>
      </c>
      <c r="J117" t="str">
        <f t="shared" si="1"/>
        <v>18-25</v>
      </c>
      <c r="M117" s="6" t="s">
        <v>581</v>
      </c>
      <c r="N117">
        <v>1200</v>
      </c>
      <c r="V117" s="6">
        <v>100</v>
      </c>
      <c r="W117">
        <v>30</v>
      </c>
      <c r="Y117" s="6">
        <v>115</v>
      </c>
      <c r="Z117">
        <v>1500</v>
      </c>
      <c r="AB117" s="6">
        <v>101</v>
      </c>
      <c r="AC117">
        <v>2</v>
      </c>
    </row>
    <row r="118" spans="1:29" x14ac:dyDescent="0.25">
      <c r="A118">
        <v>117</v>
      </c>
      <c r="B118" s="1">
        <v>45000</v>
      </c>
      <c r="C118" t="s">
        <v>145</v>
      </c>
      <c r="D118" t="s">
        <v>12</v>
      </c>
      <c r="E118">
        <v>19</v>
      </c>
      <c r="F118" t="s">
        <v>20</v>
      </c>
      <c r="G118">
        <v>2</v>
      </c>
      <c r="H118">
        <v>500</v>
      </c>
      <c r="I118">
        <v>1000</v>
      </c>
      <c r="J118" t="str">
        <f t="shared" si="1"/>
        <v>18-25</v>
      </c>
      <c r="M118" s="6" t="s">
        <v>509</v>
      </c>
      <c r="N118">
        <v>1200</v>
      </c>
      <c r="V118" s="6">
        <v>101</v>
      </c>
      <c r="W118">
        <v>600</v>
      </c>
      <c r="Y118" s="6">
        <v>116</v>
      </c>
      <c r="Z118">
        <v>30</v>
      </c>
      <c r="AB118" s="6">
        <v>102</v>
      </c>
      <c r="AC118">
        <v>2</v>
      </c>
    </row>
    <row r="119" spans="1:29" x14ac:dyDescent="0.25">
      <c r="A119">
        <v>118</v>
      </c>
      <c r="B119" s="1">
        <v>45062</v>
      </c>
      <c r="C119" t="s">
        <v>146</v>
      </c>
      <c r="D119" t="s">
        <v>16</v>
      </c>
      <c r="E119">
        <v>30</v>
      </c>
      <c r="F119" t="s">
        <v>20</v>
      </c>
      <c r="G119">
        <v>4</v>
      </c>
      <c r="H119">
        <v>500</v>
      </c>
      <c r="I119">
        <v>2000</v>
      </c>
      <c r="J119" t="str">
        <f t="shared" si="1"/>
        <v>26-35</v>
      </c>
      <c r="M119" s="6" t="s">
        <v>642</v>
      </c>
      <c r="N119">
        <v>1200</v>
      </c>
      <c r="V119" s="6">
        <v>102</v>
      </c>
      <c r="W119">
        <v>50</v>
      </c>
      <c r="Y119" s="6">
        <v>117</v>
      </c>
      <c r="Z119">
        <v>1000</v>
      </c>
      <c r="AB119" s="6">
        <v>103</v>
      </c>
      <c r="AC119">
        <v>1</v>
      </c>
    </row>
    <row r="120" spans="1:29" x14ac:dyDescent="0.25">
      <c r="A120">
        <v>119</v>
      </c>
      <c r="B120" s="1">
        <v>44998</v>
      </c>
      <c r="C120" t="s">
        <v>147</v>
      </c>
      <c r="D120" t="s">
        <v>16</v>
      </c>
      <c r="E120">
        <v>60</v>
      </c>
      <c r="F120" t="s">
        <v>17</v>
      </c>
      <c r="G120">
        <v>3</v>
      </c>
      <c r="H120">
        <v>50</v>
      </c>
      <c r="I120">
        <v>150</v>
      </c>
      <c r="J120" t="str">
        <f t="shared" si="1"/>
        <v>46-60</v>
      </c>
      <c r="M120" s="6" t="s">
        <v>433</v>
      </c>
      <c r="N120">
        <v>1200</v>
      </c>
      <c r="V120" s="6">
        <v>103</v>
      </c>
      <c r="W120">
        <v>25</v>
      </c>
      <c r="Y120" s="6">
        <v>118</v>
      </c>
      <c r="Z120">
        <v>2000</v>
      </c>
      <c r="AB120" s="6">
        <v>104</v>
      </c>
      <c r="AC120">
        <v>2</v>
      </c>
    </row>
    <row r="121" spans="1:29" x14ac:dyDescent="0.25">
      <c r="A121">
        <v>120</v>
      </c>
      <c r="B121" s="1">
        <v>45053</v>
      </c>
      <c r="C121" t="s">
        <v>148</v>
      </c>
      <c r="D121" t="s">
        <v>12</v>
      </c>
      <c r="E121">
        <v>60</v>
      </c>
      <c r="F121" t="s">
        <v>13</v>
      </c>
      <c r="G121">
        <v>1</v>
      </c>
      <c r="H121">
        <v>50</v>
      </c>
      <c r="I121">
        <v>50</v>
      </c>
      <c r="J121" t="str">
        <f t="shared" si="1"/>
        <v>46-60</v>
      </c>
      <c r="M121" s="6" t="s">
        <v>512</v>
      </c>
      <c r="N121">
        <v>1200</v>
      </c>
      <c r="V121" s="6">
        <v>104</v>
      </c>
      <c r="W121">
        <v>1000</v>
      </c>
      <c r="Y121" s="6">
        <v>119</v>
      </c>
      <c r="Z121">
        <v>150</v>
      </c>
      <c r="AB121" s="6">
        <v>105</v>
      </c>
      <c r="AC121">
        <v>1</v>
      </c>
    </row>
    <row r="122" spans="1:29" x14ac:dyDescent="0.25">
      <c r="A122">
        <v>121</v>
      </c>
      <c r="B122" s="1">
        <v>45214</v>
      </c>
      <c r="C122" t="s">
        <v>149</v>
      </c>
      <c r="D122" t="s">
        <v>16</v>
      </c>
      <c r="E122">
        <v>28</v>
      </c>
      <c r="F122" t="s">
        <v>20</v>
      </c>
      <c r="G122">
        <v>4</v>
      </c>
      <c r="H122">
        <v>50</v>
      </c>
      <c r="I122">
        <v>200</v>
      </c>
      <c r="J122" t="str">
        <f t="shared" si="1"/>
        <v>26-35</v>
      </c>
      <c r="M122" s="6" t="s">
        <v>396</v>
      </c>
      <c r="N122">
        <v>1200</v>
      </c>
      <c r="V122" s="6">
        <v>105</v>
      </c>
      <c r="W122">
        <v>500</v>
      </c>
      <c r="Y122" s="6">
        <v>120</v>
      </c>
      <c r="Z122">
        <v>50</v>
      </c>
      <c r="AB122" s="6">
        <v>106</v>
      </c>
      <c r="AC122">
        <v>1</v>
      </c>
    </row>
    <row r="123" spans="1:29" x14ac:dyDescent="0.25">
      <c r="A123">
        <v>122</v>
      </c>
      <c r="B123" s="1">
        <v>45202</v>
      </c>
      <c r="C123" t="s">
        <v>150</v>
      </c>
      <c r="D123" t="s">
        <v>12</v>
      </c>
      <c r="E123">
        <v>64</v>
      </c>
      <c r="F123" t="s">
        <v>20</v>
      </c>
      <c r="G123">
        <v>4</v>
      </c>
      <c r="H123">
        <v>30</v>
      </c>
      <c r="I123">
        <v>120</v>
      </c>
      <c r="J123" t="b">
        <f t="shared" si="1"/>
        <v>0</v>
      </c>
      <c r="M123" s="6" t="s">
        <v>615</v>
      </c>
      <c r="N123">
        <v>1200</v>
      </c>
      <c r="V123" s="6">
        <v>106</v>
      </c>
      <c r="W123">
        <v>50</v>
      </c>
      <c r="Y123" s="6">
        <v>121</v>
      </c>
      <c r="Z123">
        <v>200</v>
      </c>
      <c r="AB123" s="6">
        <v>107</v>
      </c>
      <c r="AC123">
        <v>4</v>
      </c>
    </row>
    <row r="124" spans="1:29" x14ac:dyDescent="0.25">
      <c r="A124">
        <v>123</v>
      </c>
      <c r="B124" s="1">
        <v>45061</v>
      </c>
      <c r="C124" t="s">
        <v>151</v>
      </c>
      <c r="D124" t="s">
        <v>16</v>
      </c>
      <c r="E124">
        <v>40</v>
      </c>
      <c r="F124" t="s">
        <v>20</v>
      </c>
      <c r="G124">
        <v>2</v>
      </c>
      <c r="H124">
        <v>30</v>
      </c>
      <c r="I124">
        <v>60</v>
      </c>
      <c r="J124" t="str">
        <f t="shared" si="1"/>
        <v>36-45</v>
      </c>
      <c r="M124" s="6" t="s">
        <v>452</v>
      </c>
      <c r="N124">
        <v>1200</v>
      </c>
      <c r="V124" s="6">
        <v>107</v>
      </c>
      <c r="W124">
        <v>1200</v>
      </c>
      <c r="Y124" s="6">
        <v>122</v>
      </c>
      <c r="Z124">
        <v>120</v>
      </c>
      <c r="AB124" s="6">
        <v>108</v>
      </c>
      <c r="AC124">
        <v>3</v>
      </c>
    </row>
    <row r="125" spans="1:29" x14ac:dyDescent="0.25">
      <c r="A125">
        <v>124</v>
      </c>
      <c r="B125" s="1">
        <v>45226</v>
      </c>
      <c r="C125" t="s">
        <v>152</v>
      </c>
      <c r="D125" t="s">
        <v>12</v>
      </c>
      <c r="E125">
        <v>33</v>
      </c>
      <c r="F125" t="s">
        <v>17</v>
      </c>
      <c r="G125">
        <v>4</v>
      </c>
      <c r="H125">
        <v>500</v>
      </c>
      <c r="I125">
        <v>2000</v>
      </c>
      <c r="J125" t="str">
        <f t="shared" si="1"/>
        <v>26-35</v>
      </c>
      <c r="M125" s="6" t="s">
        <v>691</v>
      </c>
      <c r="N125">
        <v>1200</v>
      </c>
      <c r="V125" s="6">
        <v>108</v>
      </c>
      <c r="W125">
        <v>75</v>
      </c>
      <c r="Y125" s="6">
        <v>123</v>
      </c>
      <c r="Z125">
        <v>60</v>
      </c>
      <c r="AB125" s="6">
        <v>109</v>
      </c>
      <c r="AC125">
        <v>4</v>
      </c>
    </row>
    <row r="126" spans="1:29" x14ac:dyDescent="0.25">
      <c r="A126">
        <v>125</v>
      </c>
      <c r="B126" s="1">
        <v>45146</v>
      </c>
      <c r="C126" t="s">
        <v>153</v>
      </c>
      <c r="D126" t="s">
        <v>12</v>
      </c>
      <c r="E126">
        <v>48</v>
      </c>
      <c r="F126" t="s">
        <v>17</v>
      </c>
      <c r="G126">
        <v>2</v>
      </c>
      <c r="H126">
        <v>50</v>
      </c>
      <c r="I126">
        <v>100</v>
      </c>
      <c r="J126" t="str">
        <f t="shared" si="1"/>
        <v>46-60</v>
      </c>
      <c r="M126" s="6" t="s">
        <v>459</v>
      </c>
      <c r="N126">
        <v>1200</v>
      </c>
      <c r="V126" s="6">
        <v>109</v>
      </c>
      <c r="W126">
        <v>2000</v>
      </c>
      <c r="Y126" s="6">
        <v>124</v>
      </c>
      <c r="Z126">
        <v>2000</v>
      </c>
      <c r="AB126" s="6">
        <v>110</v>
      </c>
      <c r="AC126">
        <v>3</v>
      </c>
    </row>
    <row r="127" spans="1:29" x14ac:dyDescent="0.25">
      <c r="A127">
        <v>126</v>
      </c>
      <c r="B127" s="1">
        <v>45225</v>
      </c>
      <c r="C127" t="s">
        <v>154</v>
      </c>
      <c r="D127" t="s">
        <v>16</v>
      </c>
      <c r="E127">
        <v>28</v>
      </c>
      <c r="F127" t="s">
        <v>17</v>
      </c>
      <c r="G127">
        <v>3</v>
      </c>
      <c r="H127">
        <v>30</v>
      </c>
      <c r="I127">
        <v>90</v>
      </c>
      <c r="J127" t="str">
        <f t="shared" si="1"/>
        <v>26-35</v>
      </c>
      <c r="M127" s="6" t="s">
        <v>510</v>
      </c>
      <c r="N127">
        <v>1200</v>
      </c>
      <c r="V127" s="6">
        <v>110</v>
      </c>
      <c r="W127">
        <v>900</v>
      </c>
      <c r="Y127" s="6">
        <v>125</v>
      </c>
      <c r="Z127">
        <v>100</v>
      </c>
      <c r="AB127" s="6">
        <v>111</v>
      </c>
      <c r="AC127">
        <v>3</v>
      </c>
    </row>
    <row r="128" spans="1:29" x14ac:dyDescent="0.25">
      <c r="A128">
        <v>127</v>
      </c>
      <c r="B128" s="1">
        <v>45131</v>
      </c>
      <c r="C128" t="s">
        <v>155</v>
      </c>
      <c r="D128" t="s">
        <v>16</v>
      </c>
      <c r="E128">
        <v>33</v>
      </c>
      <c r="F128" t="s">
        <v>17</v>
      </c>
      <c r="G128">
        <v>2</v>
      </c>
      <c r="H128">
        <v>25</v>
      </c>
      <c r="I128">
        <v>50</v>
      </c>
      <c r="J128" t="str">
        <f t="shared" si="1"/>
        <v>26-35</v>
      </c>
      <c r="M128" s="6" t="s">
        <v>465</v>
      </c>
      <c r="N128">
        <v>1200</v>
      </c>
      <c r="V128" s="6">
        <v>111</v>
      </c>
      <c r="W128">
        <v>1500</v>
      </c>
      <c r="Y128" s="6">
        <v>126</v>
      </c>
      <c r="Z128">
        <v>90</v>
      </c>
      <c r="AB128" s="6">
        <v>112</v>
      </c>
      <c r="AC128">
        <v>3</v>
      </c>
    </row>
    <row r="129" spans="1:29" x14ac:dyDescent="0.25">
      <c r="A129">
        <v>128</v>
      </c>
      <c r="B129" s="1">
        <v>45112</v>
      </c>
      <c r="C129" t="s">
        <v>156</v>
      </c>
      <c r="D129" t="s">
        <v>12</v>
      </c>
      <c r="E129">
        <v>25</v>
      </c>
      <c r="F129" t="s">
        <v>13</v>
      </c>
      <c r="G129">
        <v>1</v>
      </c>
      <c r="H129">
        <v>500</v>
      </c>
      <c r="I129">
        <v>500</v>
      </c>
      <c r="J129" t="str">
        <f t="shared" si="1"/>
        <v>18-25</v>
      </c>
      <c r="M129" s="6" t="s">
        <v>389</v>
      </c>
      <c r="N129">
        <v>1200</v>
      </c>
      <c r="V129" s="6">
        <v>112</v>
      </c>
      <c r="W129">
        <v>1500</v>
      </c>
      <c r="Y129" s="6">
        <v>127</v>
      </c>
      <c r="Z129">
        <v>50</v>
      </c>
      <c r="AB129" s="6">
        <v>113</v>
      </c>
      <c r="AC129">
        <v>2</v>
      </c>
    </row>
    <row r="130" spans="1:29" x14ac:dyDescent="0.25">
      <c r="A130">
        <v>129</v>
      </c>
      <c r="B130" s="1">
        <v>45039</v>
      </c>
      <c r="C130" t="s">
        <v>157</v>
      </c>
      <c r="D130" t="s">
        <v>16</v>
      </c>
      <c r="E130">
        <v>21</v>
      </c>
      <c r="F130" t="s">
        <v>13</v>
      </c>
      <c r="G130">
        <v>2</v>
      </c>
      <c r="H130">
        <v>300</v>
      </c>
      <c r="I130">
        <v>600</v>
      </c>
      <c r="J130" t="str">
        <f t="shared" si="1"/>
        <v>18-25</v>
      </c>
      <c r="M130" s="6" t="s">
        <v>469</v>
      </c>
      <c r="N130">
        <v>1200</v>
      </c>
      <c r="V130" s="6">
        <v>113</v>
      </c>
      <c r="W130">
        <v>50</v>
      </c>
      <c r="Y130" s="6">
        <v>128</v>
      </c>
      <c r="Z130">
        <v>500</v>
      </c>
      <c r="AB130" s="6">
        <v>114</v>
      </c>
      <c r="AC130">
        <v>4</v>
      </c>
    </row>
    <row r="131" spans="1:29" x14ac:dyDescent="0.25">
      <c r="A131">
        <v>130</v>
      </c>
      <c r="B131" s="1">
        <v>44997</v>
      </c>
      <c r="C131" t="s">
        <v>158</v>
      </c>
      <c r="D131" t="s">
        <v>16</v>
      </c>
      <c r="E131">
        <v>57</v>
      </c>
      <c r="F131" t="s">
        <v>17</v>
      </c>
      <c r="G131">
        <v>1</v>
      </c>
      <c r="H131">
        <v>500</v>
      </c>
      <c r="I131">
        <v>500</v>
      </c>
      <c r="J131" t="str">
        <f t="shared" ref="J131:J193" si="2">IF(AND(E131&gt;=18,E131&lt;=25),"18-25",IF(AND(E131&gt;=26,E131&lt;=35),"26-35",IF(AND(E131&gt;=36,E131&lt;=45),"36-45",IF(AND(E131&gt;=46,E131&lt;=60),"46-60"))))</f>
        <v>46-60</v>
      </c>
      <c r="M131" s="6" t="s">
        <v>587</v>
      </c>
      <c r="N131">
        <v>1200</v>
      </c>
      <c r="V131" s="6">
        <v>114</v>
      </c>
      <c r="W131">
        <v>100</v>
      </c>
      <c r="Y131" s="6">
        <v>129</v>
      </c>
      <c r="Z131">
        <v>600</v>
      </c>
      <c r="AB131" s="6">
        <v>115</v>
      </c>
      <c r="AC131">
        <v>3</v>
      </c>
    </row>
    <row r="132" spans="1:29" x14ac:dyDescent="0.25">
      <c r="A132">
        <v>131</v>
      </c>
      <c r="B132" s="1">
        <v>45187</v>
      </c>
      <c r="C132" t="s">
        <v>159</v>
      </c>
      <c r="D132" t="s">
        <v>16</v>
      </c>
      <c r="E132">
        <v>21</v>
      </c>
      <c r="F132" t="s">
        <v>13</v>
      </c>
      <c r="G132">
        <v>2</v>
      </c>
      <c r="H132">
        <v>300</v>
      </c>
      <c r="I132">
        <v>600</v>
      </c>
      <c r="J132" t="str">
        <f t="shared" si="2"/>
        <v>18-25</v>
      </c>
      <c r="M132" s="6" t="s">
        <v>368</v>
      </c>
      <c r="N132">
        <v>1200</v>
      </c>
      <c r="V132" s="6">
        <v>115</v>
      </c>
      <c r="W132">
        <v>1500</v>
      </c>
      <c r="Y132" s="6">
        <v>130</v>
      </c>
      <c r="Z132">
        <v>500</v>
      </c>
      <c r="AB132" s="6">
        <v>116</v>
      </c>
      <c r="AC132">
        <v>1</v>
      </c>
    </row>
    <row r="133" spans="1:29" x14ac:dyDescent="0.25">
      <c r="A133">
        <v>132</v>
      </c>
      <c r="B133" s="1">
        <v>45179</v>
      </c>
      <c r="C133" t="s">
        <v>160</v>
      </c>
      <c r="D133" t="s">
        <v>12</v>
      </c>
      <c r="E133">
        <v>42</v>
      </c>
      <c r="F133" t="s">
        <v>20</v>
      </c>
      <c r="G133">
        <v>4</v>
      </c>
      <c r="H133">
        <v>50</v>
      </c>
      <c r="I133">
        <v>200</v>
      </c>
      <c r="J133" t="str">
        <f t="shared" si="2"/>
        <v>36-45</v>
      </c>
      <c r="M133" s="6" t="s">
        <v>625</v>
      </c>
      <c r="N133">
        <v>1200</v>
      </c>
      <c r="V133" s="6">
        <v>116</v>
      </c>
      <c r="W133">
        <v>30</v>
      </c>
      <c r="Y133" s="6">
        <v>131</v>
      </c>
      <c r="Z133">
        <v>600</v>
      </c>
      <c r="AB133" s="6">
        <v>117</v>
      </c>
      <c r="AC133">
        <v>2</v>
      </c>
    </row>
    <row r="134" spans="1:29" x14ac:dyDescent="0.25">
      <c r="A134">
        <v>133</v>
      </c>
      <c r="B134" s="1">
        <v>44973</v>
      </c>
      <c r="C134" t="s">
        <v>161</v>
      </c>
      <c r="D134" t="s">
        <v>12</v>
      </c>
      <c r="E134">
        <v>20</v>
      </c>
      <c r="F134" t="s">
        <v>20</v>
      </c>
      <c r="G134">
        <v>3</v>
      </c>
      <c r="H134">
        <v>300</v>
      </c>
      <c r="I134">
        <v>900</v>
      </c>
      <c r="J134" t="str">
        <f t="shared" si="2"/>
        <v>18-25</v>
      </c>
      <c r="M134" s="6" t="s">
        <v>487</v>
      </c>
      <c r="N134">
        <v>1200</v>
      </c>
      <c r="V134" s="6">
        <v>117</v>
      </c>
      <c r="W134">
        <v>1000</v>
      </c>
      <c r="Y134" s="6">
        <v>132</v>
      </c>
      <c r="Z134">
        <v>200</v>
      </c>
      <c r="AB134" s="6">
        <v>118</v>
      </c>
      <c r="AC134">
        <v>4</v>
      </c>
    </row>
    <row r="135" spans="1:29" x14ac:dyDescent="0.25">
      <c r="A135">
        <v>134</v>
      </c>
      <c r="B135" s="1">
        <v>44951</v>
      </c>
      <c r="C135" t="s">
        <v>162</v>
      </c>
      <c r="D135" t="s">
        <v>12</v>
      </c>
      <c r="E135">
        <v>49</v>
      </c>
      <c r="F135" t="s">
        <v>20</v>
      </c>
      <c r="G135">
        <v>1</v>
      </c>
      <c r="H135">
        <v>50</v>
      </c>
      <c r="I135">
        <v>50</v>
      </c>
      <c r="J135" t="str">
        <f t="shared" si="2"/>
        <v>46-60</v>
      </c>
      <c r="M135" s="6" t="s">
        <v>676</v>
      </c>
      <c r="N135">
        <v>1200</v>
      </c>
      <c r="V135" s="6">
        <v>118</v>
      </c>
      <c r="W135">
        <v>2000</v>
      </c>
      <c r="Y135" s="6">
        <v>133</v>
      </c>
      <c r="Z135">
        <v>900</v>
      </c>
      <c r="AB135" s="6">
        <v>119</v>
      </c>
      <c r="AC135">
        <v>3</v>
      </c>
    </row>
    <row r="136" spans="1:29" x14ac:dyDescent="0.25">
      <c r="A136">
        <v>135</v>
      </c>
      <c r="B136" s="1">
        <v>44983</v>
      </c>
      <c r="C136" t="s">
        <v>163</v>
      </c>
      <c r="D136" t="s">
        <v>12</v>
      </c>
      <c r="E136">
        <v>20</v>
      </c>
      <c r="F136" t="s">
        <v>17</v>
      </c>
      <c r="G136">
        <v>2</v>
      </c>
      <c r="H136">
        <v>25</v>
      </c>
      <c r="I136">
        <v>50</v>
      </c>
      <c r="J136" t="str">
        <f t="shared" si="2"/>
        <v>18-25</v>
      </c>
      <c r="M136" s="6" t="s">
        <v>490</v>
      </c>
      <c r="N136">
        <v>1200</v>
      </c>
      <c r="V136" s="6">
        <v>119</v>
      </c>
      <c r="W136">
        <v>150</v>
      </c>
      <c r="Y136" s="6">
        <v>134</v>
      </c>
      <c r="Z136">
        <v>50</v>
      </c>
      <c r="AB136" s="6">
        <v>120</v>
      </c>
      <c r="AC136">
        <v>1</v>
      </c>
    </row>
    <row r="137" spans="1:29" x14ac:dyDescent="0.25">
      <c r="A137">
        <v>136</v>
      </c>
      <c r="B137" s="1">
        <v>45005</v>
      </c>
      <c r="C137" t="s">
        <v>164</v>
      </c>
      <c r="D137" t="s">
        <v>12</v>
      </c>
      <c r="E137">
        <v>44</v>
      </c>
      <c r="F137" t="s">
        <v>20</v>
      </c>
      <c r="G137">
        <v>2</v>
      </c>
      <c r="H137">
        <v>300</v>
      </c>
      <c r="I137">
        <v>600</v>
      </c>
      <c r="J137" t="str">
        <f t="shared" si="2"/>
        <v>36-45</v>
      </c>
      <c r="M137" s="6" t="s">
        <v>507</v>
      </c>
      <c r="N137">
        <v>1200</v>
      </c>
      <c r="V137" s="6">
        <v>120</v>
      </c>
      <c r="W137">
        <v>50</v>
      </c>
      <c r="Y137" s="6">
        <v>135</v>
      </c>
      <c r="Z137">
        <v>50</v>
      </c>
      <c r="AB137" s="6">
        <v>121</v>
      </c>
      <c r="AC137">
        <v>4</v>
      </c>
    </row>
    <row r="138" spans="1:29" x14ac:dyDescent="0.25">
      <c r="A138">
        <v>137</v>
      </c>
      <c r="B138" s="1">
        <v>45248</v>
      </c>
      <c r="C138" t="s">
        <v>165</v>
      </c>
      <c r="D138" t="s">
        <v>12</v>
      </c>
      <c r="E138">
        <v>46</v>
      </c>
      <c r="F138" t="s">
        <v>13</v>
      </c>
      <c r="G138">
        <v>2</v>
      </c>
      <c r="H138">
        <v>500</v>
      </c>
      <c r="I138">
        <v>1000</v>
      </c>
      <c r="J138" t="str">
        <f t="shared" si="2"/>
        <v>46-60</v>
      </c>
      <c r="M138" s="6" t="s">
        <v>552</v>
      </c>
      <c r="N138">
        <v>1200</v>
      </c>
      <c r="V138" s="6">
        <v>121</v>
      </c>
      <c r="W138">
        <v>200</v>
      </c>
      <c r="Y138" s="6">
        <v>136</v>
      </c>
      <c r="Z138">
        <v>600</v>
      </c>
      <c r="AB138" s="6">
        <v>122</v>
      </c>
      <c r="AC138">
        <v>4</v>
      </c>
    </row>
    <row r="139" spans="1:29" x14ac:dyDescent="0.25">
      <c r="A139">
        <v>138</v>
      </c>
      <c r="B139" s="1">
        <v>45008</v>
      </c>
      <c r="C139" t="s">
        <v>166</v>
      </c>
      <c r="D139" t="s">
        <v>12</v>
      </c>
      <c r="E139">
        <v>49</v>
      </c>
      <c r="F139" t="s">
        <v>17</v>
      </c>
      <c r="G139">
        <v>4</v>
      </c>
      <c r="H139">
        <v>50</v>
      </c>
      <c r="I139">
        <v>200</v>
      </c>
      <c r="J139" t="str">
        <f t="shared" si="2"/>
        <v>46-60</v>
      </c>
      <c r="M139" s="6" t="s">
        <v>336</v>
      </c>
      <c r="N139">
        <v>1200</v>
      </c>
      <c r="V139" s="6">
        <v>122</v>
      </c>
      <c r="W139">
        <v>120</v>
      </c>
      <c r="Y139" s="6">
        <v>137</v>
      </c>
      <c r="Z139">
        <v>1000</v>
      </c>
      <c r="AB139" s="6">
        <v>123</v>
      </c>
      <c r="AC139">
        <v>2</v>
      </c>
    </row>
    <row r="140" spans="1:29" x14ac:dyDescent="0.25">
      <c r="A140">
        <v>139</v>
      </c>
      <c r="B140" s="1">
        <v>45275</v>
      </c>
      <c r="C140" t="s">
        <v>167</v>
      </c>
      <c r="D140" t="s">
        <v>12</v>
      </c>
      <c r="E140">
        <v>36</v>
      </c>
      <c r="F140" t="s">
        <v>13</v>
      </c>
      <c r="G140">
        <v>4</v>
      </c>
      <c r="H140">
        <v>500</v>
      </c>
      <c r="I140">
        <v>2000</v>
      </c>
      <c r="J140" t="str">
        <f t="shared" si="2"/>
        <v>36-45</v>
      </c>
      <c r="M140" s="6" t="s">
        <v>320</v>
      </c>
      <c r="N140">
        <v>1200</v>
      </c>
      <c r="V140" s="6">
        <v>123</v>
      </c>
      <c r="W140">
        <v>60</v>
      </c>
      <c r="Y140" s="6">
        <v>138</v>
      </c>
      <c r="Z140">
        <v>200</v>
      </c>
      <c r="AB140" s="6">
        <v>124</v>
      </c>
      <c r="AC140">
        <v>4</v>
      </c>
    </row>
    <row r="141" spans="1:29" x14ac:dyDescent="0.25">
      <c r="A141">
        <v>140</v>
      </c>
      <c r="B141" s="1">
        <v>45143</v>
      </c>
      <c r="C141" t="s">
        <v>168</v>
      </c>
      <c r="D141" t="s">
        <v>12</v>
      </c>
      <c r="E141">
        <v>38</v>
      </c>
      <c r="F141" t="s">
        <v>20</v>
      </c>
      <c r="G141">
        <v>1</v>
      </c>
      <c r="H141">
        <v>30</v>
      </c>
      <c r="I141">
        <v>30</v>
      </c>
      <c r="J141" t="str">
        <f t="shared" si="2"/>
        <v>36-45</v>
      </c>
      <c r="M141" s="6" t="s">
        <v>361</v>
      </c>
      <c r="N141">
        <v>1200</v>
      </c>
      <c r="V141" s="6">
        <v>124</v>
      </c>
      <c r="W141">
        <v>2000</v>
      </c>
      <c r="Y141" s="6">
        <v>139</v>
      </c>
      <c r="Z141">
        <v>2000</v>
      </c>
      <c r="AB141" s="6">
        <v>125</v>
      </c>
      <c r="AC141">
        <v>2</v>
      </c>
    </row>
    <row r="142" spans="1:29" x14ac:dyDescent="0.25">
      <c r="A142">
        <v>141</v>
      </c>
      <c r="B142" s="1">
        <v>45232</v>
      </c>
      <c r="C142" t="s">
        <v>169</v>
      </c>
      <c r="D142" t="s">
        <v>16</v>
      </c>
      <c r="E142">
        <v>22</v>
      </c>
      <c r="F142" t="s">
        <v>20</v>
      </c>
      <c r="G142">
        <v>1</v>
      </c>
      <c r="H142">
        <v>50</v>
      </c>
      <c r="I142">
        <v>50</v>
      </c>
      <c r="J142" t="str">
        <f t="shared" si="2"/>
        <v>18-25</v>
      </c>
      <c r="M142" s="6" t="s">
        <v>86</v>
      </c>
      <c r="N142">
        <v>1200</v>
      </c>
      <c r="V142" s="6">
        <v>125</v>
      </c>
      <c r="W142">
        <v>100</v>
      </c>
      <c r="Y142" s="6">
        <v>140</v>
      </c>
      <c r="Z142">
        <v>30</v>
      </c>
      <c r="AB142" s="6">
        <v>126</v>
      </c>
      <c r="AC142">
        <v>3</v>
      </c>
    </row>
    <row r="143" spans="1:29" x14ac:dyDescent="0.25">
      <c r="A143">
        <v>142</v>
      </c>
      <c r="B143" s="1">
        <v>44959</v>
      </c>
      <c r="C143" t="s">
        <v>170</v>
      </c>
      <c r="D143" t="s">
        <v>12</v>
      </c>
      <c r="E143">
        <v>35</v>
      </c>
      <c r="F143" t="s">
        <v>20</v>
      </c>
      <c r="G143">
        <v>4</v>
      </c>
      <c r="H143">
        <v>300</v>
      </c>
      <c r="I143">
        <v>1200</v>
      </c>
      <c r="J143" t="str">
        <f t="shared" si="2"/>
        <v>26-35</v>
      </c>
      <c r="M143" s="6" t="s">
        <v>326</v>
      </c>
      <c r="N143">
        <v>1200</v>
      </c>
      <c r="V143" s="6">
        <v>126</v>
      </c>
      <c r="W143">
        <v>90</v>
      </c>
      <c r="Y143" s="6">
        <v>141</v>
      </c>
      <c r="Z143">
        <v>50</v>
      </c>
      <c r="AB143" s="6">
        <v>127</v>
      </c>
      <c r="AC143">
        <v>2</v>
      </c>
    </row>
    <row r="144" spans="1:29" x14ac:dyDescent="0.25">
      <c r="A144">
        <v>143</v>
      </c>
      <c r="B144" s="1">
        <v>45124</v>
      </c>
      <c r="C144" t="s">
        <v>171</v>
      </c>
      <c r="D144" t="s">
        <v>16</v>
      </c>
      <c r="E144">
        <v>45</v>
      </c>
      <c r="F144" t="s">
        <v>17</v>
      </c>
      <c r="G144">
        <v>1</v>
      </c>
      <c r="H144">
        <v>50</v>
      </c>
      <c r="I144">
        <v>50</v>
      </c>
      <c r="J144" t="str">
        <f t="shared" si="2"/>
        <v>36-45</v>
      </c>
      <c r="M144" s="6" t="s">
        <v>95</v>
      </c>
      <c r="N144">
        <v>1200</v>
      </c>
      <c r="V144" s="6">
        <v>127</v>
      </c>
      <c r="W144">
        <v>50</v>
      </c>
      <c r="Y144" s="6">
        <v>142</v>
      </c>
      <c r="Z144">
        <v>1200</v>
      </c>
      <c r="AB144" s="6">
        <v>128</v>
      </c>
      <c r="AC144">
        <v>1</v>
      </c>
    </row>
    <row r="145" spans="1:29" x14ac:dyDescent="0.25">
      <c r="A145">
        <v>144</v>
      </c>
      <c r="B145" s="1">
        <v>45122</v>
      </c>
      <c r="C145" t="s">
        <v>172</v>
      </c>
      <c r="D145" t="s">
        <v>16</v>
      </c>
      <c r="E145">
        <v>59</v>
      </c>
      <c r="F145" t="s">
        <v>13</v>
      </c>
      <c r="G145">
        <v>3</v>
      </c>
      <c r="H145">
        <v>500</v>
      </c>
      <c r="I145">
        <v>1500</v>
      </c>
      <c r="J145" t="str">
        <f t="shared" si="2"/>
        <v>46-60</v>
      </c>
      <c r="M145" s="6" t="s">
        <v>135</v>
      </c>
      <c r="N145">
        <v>1200</v>
      </c>
      <c r="V145" s="6">
        <v>128</v>
      </c>
      <c r="W145">
        <v>500</v>
      </c>
      <c r="Y145" s="6">
        <v>143</v>
      </c>
      <c r="Z145">
        <v>50</v>
      </c>
      <c r="AB145" s="6">
        <v>129</v>
      </c>
      <c r="AC145">
        <v>2</v>
      </c>
    </row>
    <row r="146" spans="1:29" x14ac:dyDescent="0.25">
      <c r="A146">
        <v>145</v>
      </c>
      <c r="B146" s="1">
        <v>45232</v>
      </c>
      <c r="C146" t="s">
        <v>173</v>
      </c>
      <c r="D146" t="s">
        <v>16</v>
      </c>
      <c r="E146">
        <v>39</v>
      </c>
      <c r="F146" t="s">
        <v>17</v>
      </c>
      <c r="G146">
        <v>3</v>
      </c>
      <c r="H146">
        <v>25</v>
      </c>
      <c r="I146">
        <v>75</v>
      </c>
      <c r="J146" t="str">
        <f t="shared" si="2"/>
        <v>36-45</v>
      </c>
      <c r="M146" s="6" t="s">
        <v>230</v>
      </c>
      <c r="N146">
        <v>1200</v>
      </c>
      <c r="V146" s="6">
        <v>129</v>
      </c>
      <c r="W146">
        <v>600</v>
      </c>
      <c r="Y146" s="6">
        <v>144</v>
      </c>
      <c r="Z146">
        <v>1500</v>
      </c>
      <c r="AB146" s="6">
        <v>130</v>
      </c>
      <c r="AC146">
        <v>1</v>
      </c>
    </row>
    <row r="147" spans="1:29" x14ac:dyDescent="0.25">
      <c r="A147">
        <v>146</v>
      </c>
      <c r="B147" s="1">
        <v>45166</v>
      </c>
      <c r="C147" t="s">
        <v>174</v>
      </c>
      <c r="D147" t="s">
        <v>12</v>
      </c>
      <c r="E147">
        <v>38</v>
      </c>
      <c r="F147" t="s">
        <v>17</v>
      </c>
      <c r="G147">
        <v>4</v>
      </c>
      <c r="H147">
        <v>50</v>
      </c>
      <c r="I147">
        <v>200</v>
      </c>
      <c r="J147" t="str">
        <f t="shared" si="2"/>
        <v>36-45</v>
      </c>
      <c r="M147" s="6" t="s">
        <v>74</v>
      </c>
      <c r="N147">
        <v>1200</v>
      </c>
      <c r="V147" s="6">
        <v>130</v>
      </c>
      <c r="W147">
        <v>500</v>
      </c>
      <c r="Y147" s="6">
        <v>145</v>
      </c>
      <c r="Z147">
        <v>75</v>
      </c>
      <c r="AB147" s="6">
        <v>131</v>
      </c>
      <c r="AC147">
        <v>2</v>
      </c>
    </row>
    <row r="148" spans="1:29" x14ac:dyDescent="0.25">
      <c r="A148">
        <v>147</v>
      </c>
      <c r="B148" s="1">
        <v>45197</v>
      </c>
      <c r="C148" t="s">
        <v>175</v>
      </c>
      <c r="D148" t="s">
        <v>12</v>
      </c>
      <c r="E148">
        <v>23</v>
      </c>
      <c r="F148" t="s">
        <v>20</v>
      </c>
      <c r="G148">
        <v>1</v>
      </c>
      <c r="H148">
        <v>300</v>
      </c>
      <c r="I148">
        <v>300</v>
      </c>
      <c r="J148" t="str">
        <f t="shared" si="2"/>
        <v>18-25</v>
      </c>
      <c r="M148" s="6" t="s">
        <v>170</v>
      </c>
      <c r="N148">
        <v>1200</v>
      </c>
      <c r="V148" s="6">
        <v>131</v>
      </c>
      <c r="W148">
        <v>600</v>
      </c>
      <c r="Y148" s="6">
        <v>146</v>
      </c>
      <c r="Z148">
        <v>200</v>
      </c>
      <c r="AB148" s="6">
        <v>132</v>
      </c>
      <c r="AC148">
        <v>4</v>
      </c>
    </row>
    <row r="149" spans="1:29" x14ac:dyDescent="0.25">
      <c r="A149">
        <v>148</v>
      </c>
      <c r="B149" s="1">
        <v>45055</v>
      </c>
      <c r="C149" t="s">
        <v>176</v>
      </c>
      <c r="D149" t="s">
        <v>12</v>
      </c>
      <c r="E149">
        <v>18</v>
      </c>
      <c r="F149" t="s">
        <v>17</v>
      </c>
      <c r="G149">
        <v>2</v>
      </c>
      <c r="H149">
        <v>30</v>
      </c>
      <c r="I149">
        <v>60</v>
      </c>
      <c r="J149" t="str">
        <f t="shared" si="2"/>
        <v>18-25</v>
      </c>
      <c r="M149" s="6" t="s">
        <v>324</v>
      </c>
      <c r="N149">
        <v>1200</v>
      </c>
      <c r="V149" s="6">
        <v>132</v>
      </c>
      <c r="W149">
        <v>200</v>
      </c>
      <c r="Y149" s="6">
        <v>147</v>
      </c>
      <c r="Z149">
        <v>300</v>
      </c>
      <c r="AB149" s="6">
        <v>133</v>
      </c>
      <c r="AC149">
        <v>3</v>
      </c>
    </row>
    <row r="150" spans="1:29" x14ac:dyDescent="0.25">
      <c r="A150">
        <v>149</v>
      </c>
      <c r="B150" s="1">
        <v>45210</v>
      </c>
      <c r="C150" t="s">
        <v>177</v>
      </c>
      <c r="D150" t="s">
        <v>12</v>
      </c>
      <c r="E150">
        <v>22</v>
      </c>
      <c r="F150" t="s">
        <v>17</v>
      </c>
      <c r="G150">
        <v>3</v>
      </c>
      <c r="H150">
        <v>25</v>
      </c>
      <c r="I150">
        <v>75</v>
      </c>
      <c r="J150" t="str">
        <f t="shared" si="2"/>
        <v>18-25</v>
      </c>
      <c r="M150" s="6" t="s">
        <v>59</v>
      </c>
      <c r="N150">
        <v>1200</v>
      </c>
      <c r="V150" s="6">
        <v>133</v>
      </c>
      <c r="W150">
        <v>900</v>
      </c>
      <c r="Y150" s="6">
        <v>148</v>
      </c>
      <c r="Z150">
        <v>60</v>
      </c>
      <c r="AB150" s="6">
        <v>134</v>
      </c>
      <c r="AC150">
        <v>1</v>
      </c>
    </row>
    <row r="151" spans="1:29" x14ac:dyDescent="0.25">
      <c r="A151">
        <v>150</v>
      </c>
      <c r="B151" s="1">
        <v>44932</v>
      </c>
      <c r="C151" t="s">
        <v>178</v>
      </c>
      <c r="D151" t="s">
        <v>16</v>
      </c>
      <c r="E151">
        <v>58</v>
      </c>
      <c r="F151" t="s">
        <v>20</v>
      </c>
      <c r="G151">
        <v>4</v>
      </c>
      <c r="H151">
        <v>30</v>
      </c>
      <c r="I151">
        <v>120</v>
      </c>
      <c r="J151" t="str">
        <f t="shared" si="2"/>
        <v>46-60</v>
      </c>
      <c r="M151" s="6" t="s">
        <v>209</v>
      </c>
      <c r="N151">
        <v>1200</v>
      </c>
      <c r="V151" s="6">
        <v>134</v>
      </c>
      <c r="W151">
        <v>50</v>
      </c>
      <c r="Y151" s="6">
        <v>149</v>
      </c>
      <c r="Z151">
        <v>75</v>
      </c>
      <c r="AB151" s="6">
        <v>135</v>
      </c>
      <c r="AC151">
        <v>2</v>
      </c>
    </row>
    <row r="152" spans="1:29" x14ac:dyDescent="0.25">
      <c r="A152">
        <v>151</v>
      </c>
      <c r="B152" s="1">
        <v>45275</v>
      </c>
      <c r="C152" t="s">
        <v>179</v>
      </c>
      <c r="D152" t="s">
        <v>12</v>
      </c>
      <c r="E152">
        <v>29</v>
      </c>
      <c r="F152" t="s">
        <v>17</v>
      </c>
      <c r="G152">
        <v>1</v>
      </c>
      <c r="H152">
        <v>50</v>
      </c>
      <c r="I152">
        <v>50</v>
      </c>
      <c r="J152" t="str">
        <f t="shared" si="2"/>
        <v>26-35</v>
      </c>
      <c r="M152" s="6" t="s">
        <v>127</v>
      </c>
      <c r="N152">
        <v>1200</v>
      </c>
      <c r="V152" s="6">
        <v>135</v>
      </c>
      <c r="W152">
        <v>50</v>
      </c>
      <c r="Y152" s="6">
        <v>150</v>
      </c>
      <c r="Z152">
        <v>120</v>
      </c>
      <c r="AB152" s="6">
        <v>136</v>
      </c>
      <c r="AC152">
        <v>2</v>
      </c>
    </row>
    <row r="153" spans="1:29" x14ac:dyDescent="0.25">
      <c r="A153">
        <v>152</v>
      </c>
      <c r="B153" s="1">
        <v>44985</v>
      </c>
      <c r="C153" t="s">
        <v>180</v>
      </c>
      <c r="D153" t="s">
        <v>12</v>
      </c>
      <c r="E153">
        <v>43</v>
      </c>
      <c r="F153" t="s">
        <v>20</v>
      </c>
      <c r="G153">
        <v>4</v>
      </c>
      <c r="H153">
        <v>500</v>
      </c>
      <c r="I153">
        <v>2000</v>
      </c>
      <c r="J153" t="str">
        <f t="shared" si="2"/>
        <v>36-45</v>
      </c>
      <c r="M153" s="6" t="s">
        <v>348</v>
      </c>
      <c r="N153">
        <v>1200</v>
      </c>
      <c r="V153" s="6">
        <v>136</v>
      </c>
      <c r="W153">
        <v>600</v>
      </c>
      <c r="Y153" s="6">
        <v>151</v>
      </c>
      <c r="Z153">
        <v>50</v>
      </c>
      <c r="AB153" s="6">
        <v>137</v>
      </c>
      <c r="AC153">
        <v>2</v>
      </c>
    </row>
    <row r="154" spans="1:29" x14ac:dyDescent="0.25">
      <c r="A154">
        <v>153</v>
      </c>
      <c r="B154" s="1">
        <v>45276</v>
      </c>
      <c r="C154" t="s">
        <v>181</v>
      </c>
      <c r="D154" t="s">
        <v>12</v>
      </c>
      <c r="E154">
        <v>63</v>
      </c>
      <c r="F154" t="s">
        <v>20</v>
      </c>
      <c r="G154">
        <v>2</v>
      </c>
      <c r="H154">
        <v>500</v>
      </c>
      <c r="I154">
        <v>1000</v>
      </c>
      <c r="J154" t="b">
        <f t="shared" si="2"/>
        <v>0</v>
      </c>
      <c r="M154" s="6" t="s">
        <v>193</v>
      </c>
      <c r="N154">
        <v>1200</v>
      </c>
      <c r="V154" s="6">
        <v>137</v>
      </c>
      <c r="W154">
        <v>1000</v>
      </c>
      <c r="Y154" s="6">
        <v>152</v>
      </c>
      <c r="Z154">
        <v>2000</v>
      </c>
      <c r="AB154" s="6">
        <v>138</v>
      </c>
      <c r="AC154">
        <v>4</v>
      </c>
    </row>
    <row r="155" spans="1:29" x14ac:dyDescent="0.25">
      <c r="A155">
        <v>154</v>
      </c>
      <c r="B155" s="1">
        <v>45201</v>
      </c>
      <c r="C155" t="s">
        <v>182</v>
      </c>
      <c r="D155" t="s">
        <v>12</v>
      </c>
      <c r="E155">
        <v>51</v>
      </c>
      <c r="F155" t="s">
        <v>20</v>
      </c>
      <c r="G155">
        <v>3</v>
      </c>
      <c r="H155">
        <v>300</v>
      </c>
      <c r="I155">
        <v>900</v>
      </c>
      <c r="J155" t="str">
        <f t="shared" si="2"/>
        <v>46-60</v>
      </c>
      <c r="M155" s="6" t="s">
        <v>360</v>
      </c>
      <c r="N155">
        <v>1200</v>
      </c>
      <c r="V155" s="6">
        <v>138</v>
      </c>
      <c r="W155">
        <v>200</v>
      </c>
      <c r="Y155" s="6">
        <v>153</v>
      </c>
      <c r="Z155">
        <v>1000</v>
      </c>
      <c r="AB155" s="6">
        <v>139</v>
      </c>
      <c r="AC155">
        <v>4</v>
      </c>
    </row>
    <row r="156" spans="1:29" x14ac:dyDescent="0.25">
      <c r="A156">
        <v>155</v>
      </c>
      <c r="B156" s="1">
        <v>45063</v>
      </c>
      <c r="C156" t="s">
        <v>183</v>
      </c>
      <c r="D156" t="s">
        <v>12</v>
      </c>
      <c r="E156">
        <v>31</v>
      </c>
      <c r="F156" t="s">
        <v>20</v>
      </c>
      <c r="G156">
        <v>4</v>
      </c>
      <c r="H156">
        <v>500</v>
      </c>
      <c r="I156">
        <v>2000</v>
      </c>
      <c r="J156" t="str">
        <f t="shared" si="2"/>
        <v>26-35</v>
      </c>
      <c r="M156" s="6" t="s">
        <v>881</v>
      </c>
      <c r="N156">
        <v>1000</v>
      </c>
      <c r="V156" s="6">
        <v>139</v>
      </c>
      <c r="W156">
        <v>2000</v>
      </c>
      <c r="Y156" s="6">
        <v>154</v>
      </c>
      <c r="Z156">
        <v>900</v>
      </c>
      <c r="AB156" s="6">
        <v>140</v>
      </c>
      <c r="AC156">
        <v>1</v>
      </c>
    </row>
    <row r="157" spans="1:29" x14ac:dyDescent="0.25">
      <c r="A157">
        <v>156</v>
      </c>
      <c r="B157" s="1">
        <v>45255</v>
      </c>
      <c r="C157" t="s">
        <v>184</v>
      </c>
      <c r="D157" t="s">
        <v>16</v>
      </c>
      <c r="E157">
        <v>43</v>
      </c>
      <c r="F157" t="s">
        <v>17</v>
      </c>
      <c r="G157">
        <v>4</v>
      </c>
      <c r="H157">
        <v>25</v>
      </c>
      <c r="I157">
        <v>100</v>
      </c>
      <c r="J157" t="str">
        <f t="shared" si="2"/>
        <v>36-45</v>
      </c>
      <c r="M157" s="6" t="s">
        <v>994</v>
      </c>
      <c r="N157">
        <v>1000</v>
      </c>
      <c r="V157" s="6">
        <v>140</v>
      </c>
      <c r="W157">
        <v>30</v>
      </c>
      <c r="Y157" s="6">
        <v>155</v>
      </c>
      <c r="Z157">
        <v>2000</v>
      </c>
      <c r="AB157" s="6">
        <v>141</v>
      </c>
      <c r="AC157">
        <v>1</v>
      </c>
    </row>
    <row r="158" spans="1:29" x14ac:dyDescent="0.25">
      <c r="A158">
        <v>157</v>
      </c>
      <c r="B158" s="1">
        <v>45101</v>
      </c>
      <c r="C158" t="s">
        <v>185</v>
      </c>
      <c r="D158" t="s">
        <v>12</v>
      </c>
      <c r="E158">
        <v>62</v>
      </c>
      <c r="F158" t="s">
        <v>20</v>
      </c>
      <c r="G158">
        <v>4</v>
      </c>
      <c r="H158">
        <v>500</v>
      </c>
      <c r="I158">
        <v>2000</v>
      </c>
      <c r="J158" t="b">
        <f t="shared" si="2"/>
        <v>0</v>
      </c>
      <c r="M158" s="6" t="s">
        <v>908</v>
      </c>
      <c r="N158">
        <v>1000</v>
      </c>
      <c r="V158" s="6">
        <v>141</v>
      </c>
      <c r="W158">
        <v>50</v>
      </c>
      <c r="Y158" s="6">
        <v>156</v>
      </c>
      <c r="Z158">
        <v>100</v>
      </c>
      <c r="AB158" s="6">
        <v>142</v>
      </c>
      <c r="AC158">
        <v>4</v>
      </c>
    </row>
    <row r="159" spans="1:29" x14ac:dyDescent="0.25">
      <c r="A159">
        <v>158</v>
      </c>
      <c r="B159" s="1">
        <v>44984</v>
      </c>
      <c r="C159" t="s">
        <v>186</v>
      </c>
      <c r="D159" t="s">
        <v>16</v>
      </c>
      <c r="E159">
        <v>44</v>
      </c>
      <c r="F159" t="s">
        <v>20</v>
      </c>
      <c r="G159">
        <v>2</v>
      </c>
      <c r="H159">
        <v>300</v>
      </c>
      <c r="I159">
        <v>600</v>
      </c>
      <c r="J159" t="str">
        <f t="shared" si="2"/>
        <v>36-45</v>
      </c>
      <c r="M159" s="6" t="s">
        <v>844</v>
      </c>
      <c r="N159">
        <v>1000</v>
      </c>
      <c r="V159" s="6">
        <v>142</v>
      </c>
      <c r="W159">
        <v>1200</v>
      </c>
      <c r="Y159" s="6">
        <v>157</v>
      </c>
      <c r="Z159">
        <v>2000</v>
      </c>
      <c r="AB159" s="6">
        <v>143</v>
      </c>
      <c r="AC159">
        <v>1</v>
      </c>
    </row>
    <row r="160" spans="1:29" x14ac:dyDescent="0.25">
      <c r="A160">
        <v>159</v>
      </c>
      <c r="B160" s="1">
        <v>45077</v>
      </c>
      <c r="C160" t="s">
        <v>187</v>
      </c>
      <c r="D160" t="s">
        <v>12</v>
      </c>
      <c r="E160">
        <v>26</v>
      </c>
      <c r="F160" t="s">
        <v>17</v>
      </c>
      <c r="G160">
        <v>4</v>
      </c>
      <c r="H160">
        <v>50</v>
      </c>
      <c r="I160">
        <v>200</v>
      </c>
      <c r="J160" t="str">
        <f t="shared" si="2"/>
        <v>26-35</v>
      </c>
      <c r="M160" s="6" t="s">
        <v>878</v>
      </c>
      <c r="N160">
        <v>1000</v>
      </c>
      <c r="V160" s="6">
        <v>143</v>
      </c>
      <c r="W160">
        <v>50</v>
      </c>
      <c r="Y160" s="6">
        <v>158</v>
      </c>
      <c r="Z160">
        <v>600</v>
      </c>
      <c r="AB160" s="6">
        <v>144</v>
      </c>
      <c r="AC160">
        <v>3</v>
      </c>
    </row>
    <row r="161" spans="1:29" x14ac:dyDescent="0.25">
      <c r="A161">
        <v>160</v>
      </c>
      <c r="B161" s="1">
        <v>45149</v>
      </c>
      <c r="C161" t="s">
        <v>188</v>
      </c>
      <c r="D161" t="s">
        <v>16</v>
      </c>
      <c r="E161">
        <v>43</v>
      </c>
      <c r="F161" t="s">
        <v>17</v>
      </c>
      <c r="G161">
        <v>2</v>
      </c>
      <c r="H161">
        <v>50</v>
      </c>
      <c r="I161">
        <v>100</v>
      </c>
      <c r="J161" t="str">
        <f t="shared" si="2"/>
        <v>36-45</v>
      </c>
      <c r="M161" s="6" t="s">
        <v>1018</v>
      </c>
      <c r="N161">
        <v>1000</v>
      </c>
      <c r="V161" s="6">
        <v>144</v>
      </c>
      <c r="W161">
        <v>1500</v>
      </c>
      <c r="Y161" s="6">
        <v>159</v>
      </c>
      <c r="Z161">
        <v>200</v>
      </c>
      <c r="AB161" s="6">
        <v>145</v>
      </c>
      <c r="AC161">
        <v>3</v>
      </c>
    </row>
    <row r="162" spans="1:29" x14ac:dyDescent="0.25">
      <c r="A162">
        <v>161</v>
      </c>
      <c r="B162" s="1">
        <v>45007</v>
      </c>
      <c r="C162" t="s">
        <v>189</v>
      </c>
      <c r="D162" t="s">
        <v>12</v>
      </c>
      <c r="E162">
        <v>64</v>
      </c>
      <c r="F162" t="s">
        <v>13</v>
      </c>
      <c r="G162">
        <v>2</v>
      </c>
      <c r="H162">
        <v>500</v>
      </c>
      <c r="I162">
        <v>1000</v>
      </c>
      <c r="J162" t="b">
        <f t="shared" si="2"/>
        <v>0</v>
      </c>
      <c r="M162" s="6" t="s">
        <v>712</v>
      </c>
      <c r="N162">
        <v>1000</v>
      </c>
      <c r="V162" s="6">
        <v>145</v>
      </c>
      <c r="W162">
        <v>75</v>
      </c>
      <c r="Y162" s="6">
        <v>160</v>
      </c>
      <c r="Z162">
        <v>100</v>
      </c>
      <c r="AB162" s="6">
        <v>146</v>
      </c>
      <c r="AC162">
        <v>4</v>
      </c>
    </row>
    <row r="163" spans="1:29" x14ac:dyDescent="0.25">
      <c r="A163">
        <v>162</v>
      </c>
      <c r="B163" s="1">
        <v>45159</v>
      </c>
      <c r="C163" t="s">
        <v>190</v>
      </c>
      <c r="D163" t="s">
        <v>12</v>
      </c>
      <c r="E163">
        <v>39</v>
      </c>
      <c r="F163" t="s">
        <v>17</v>
      </c>
      <c r="G163">
        <v>2</v>
      </c>
      <c r="H163">
        <v>30</v>
      </c>
      <c r="I163">
        <v>60</v>
      </c>
      <c r="J163" t="str">
        <f t="shared" si="2"/>
        <v>36-45</v>
      </c>
      <c r="M163" s="6" t="s">
        <v>1022</v>
      </c>
      <c r="N163">
        <v>1000</v>
      </c>
      <c r="V163" s="6">
        <v>146</v>
      </c>
      <c r="W163">
        <v>200</v>
      </c>
      <c r="Y163" s="6">
        <v>161</v>
      </c>
      <c r="Z163">
        <v>1000</v>
      </c>
      <c r="AB163" s="6">
        <v>147</v>
      </c>
      <c r="AC163">
        <v>1</v>
      </c>
    </row>
    <row r="164" spans="1:29" x14ac:dyDescent="0.25">
      <c r="A164">
        <v>163</v>
      </c>
      <c r="B164" s="1">
        <v>44928</v>
      </c>
      <c r="C164" t="s">
        <v>191</v>
      </c>
      <c r="D164" t="s">
        <v>16</v>
      </c>
      <c r="E164">
        <v>64</v>
      </c>
      <c r="F164" t="s">
        <v>17</v>
      </c>
      <c r="G164">
        <v>3</v>
      </c>
      <c r="H164">
        <v>50</v>
      </c>
      <c r="I164">
        <v>150</v>
      </c>
      <c r="J164" t="b">
        <f t="shared" si="2"/>
        <v>0</v>
      </c>
      <c r="M164" s="6" t="s">
        <v>807</v>
      </c>
      <c r="N164">
        <v>1000</v>
      </c>
      <c r="V164" s="6">
        <v>147</v>
      </c>
      <c r="W164">
        <v>300</v>
      </c>
      <c r="Y164" s="6">
        <v>162</v>
      </c>
      <c r="Z164">
        <v>60</v>
      </c>
      <c r="AB164" s="6">
        <v>148</v>
      </c>
      <c r="AC164">
        <v>2</v>
      </c>
    </row>
    <row r="165" spans="1:29" x14ac:dyDescent="0.25">
      <c r="A165">
        <v>164</v>
      </c>
      <c r="B165" s="1">
        <v>45061</v>
      </c>
      <c r="C165" t="s">
        <v>192</v>
      </c>
      <c r="D165" t="s">
        <v>16</v>
      </c>
      <c r="E165">
        <v>47</v>
      </c>
      <c r="F165" t="s">
        <v>13</v>
      </c>
      <c r="G165">
        <v>3</v>
      </c>
      <c r="H165">
        <v>500</v>
      </c>
      <c r="I165">
        <v>1500</v>
      </c>
      <c r="J165" t="str">
        <f t="shared" si="2"/>
        <v>46-60</v>
      </c>
      <c r="M165" s="6" t="s">
        <v>711</v>
      </c>
      <c r="N165">
        <v>1000</v>
      </c>
      <c r="V165" s="6">
        <v>148</v>
      </c>
      <c r="W165">
        <v>60</v>
      </c>
      <c r="Y165" s="6">
        <v>163</v>
      </c>
      <c r="Z165">
        <v>150</v>
      </c>
      <c r="AB165" s="6">
        <v>149</v>
      </c>
      <c r="AC165">
        <v>3</v>
      </c>
    </row>
    <row r="166" spans="1:29" x14ac:dyDescent="0.25">
      <c r="A166">
        <v>165</v>
      </c>
      <c r="B166" s="1">
        <v>45183</v>
      </c>
      <c r="C166" t="s">
        <v>193</v>
      </c>
      <c r="D166" t="s">
        <v>16</v>
      </c>
      <c r="E166">
        <v>60</v>
      </c>
      <c r="F166" t="s">
        <v>17</v>
      </c>
      <c r="G166">
        <v>4</v>
      </c>
      <c r="H166">
        <v>300</v>
      </c>
      <c r="I166">
        <v>1200</v>
      </c>
      <c r="J166" t="str">
        <f t="shared" si="2"/>
        <v>46-60</v>
      </c>
      <c r="M166" s="6" t="s">
        <v>1014</v>
      </c>
      <c r="N166">
        <v>1000</v>
      </c>
      <c r="V166" s="6">
        <v>149</v>
      </c>
      <c r="W166">
        <v>75</v>
      </c>
      <c r="Y166" s="6">
        <v>164</v>
      </c>
      <c r="Z166">
        <v>1500</v>
      </c>
      <c r="AB166" s="6">
        <v>150</v>
      </c>
      <c r="AC166">
        <v>4</v>
      </c>
    </row>
    <row r="167" spans="1:29" x14ac:dyDescent="0.25">
      <c r="A167">
        <v>166</v>
      </c>
      <c r="B167" s="1">
        <v>45018</v>
      </c>
      <c r="C167" t="s">
        <v>194</v>
      </c>
      <c r="D167" t="s">
        <v>12</v>
      </c>
      <c r="E167">
        <v>34</v>
      </c>
      <c r="F167" t="s">
        <v>17</v>
      </c>
      <c r="G167">
        <v>4</v>
      </c>
      <c r="H167">
        <v>500</v>
      </c>
      <c r="I167">
        <v>2000</v>
      </c>
      <c r="J167" t="str">
        <f t="shared" si="2"/>
        <v>26-35</v>
      </c>
      <c r="M167" s="6" t="s">
        <v>760</v>
      </c>
      <c r="N167">
        <v>1000</v>
      </c>
      <c r="V167" s="6">
        <v>150</v>
      </c>
      <c r="W167">
        <v>120</v>
      </c>
      <c r="Y167" s="6">
        <v>165</v>
      </c>
      <c r="Z167">
        <v>1200</v>
      </c>
      <c r="AB167" s="6">
        <v>151</v>
      </c>
      <c r="AC167">
        <v>1</v>
      </c>
    </row>
    <row r="168" spans="1:29" x14ac:dyDescent="0.25">
      <c r="A168">
        <v>167</v>
      </c>
      <c r="B168" s="1">
        <v>45186</v>
      </c>
      <c r="C168" t="s">
        <v>195</v>
      </c>
      <c r="D168" t="s">
        <v>16</v>
      </c>
      <c r="E168">
        <v>43</v>
      </c>
      <c r="F168" t="s">
        <v>17</v>
      </c>
      <c r="G168">
        <v>3</v>
      </c>
      <c r="H168">
        <v>50</v>
      </c>
      <c r="I168">
        <v>150</v>
      </c>
      <c r="J168" t="str">
        <f t="shared" si="2"/>
        <v>36-45</v>
      </c>
      <c r="M168" s="6" t="s">
        <v>737</v>
      </c>
      <c r="N168">
        <v>1000</v>
      </c>
      <c r="V168" s="6">
        <v>151</v>
      </c>
      <c r="W168">
        <v>50</v>
      </c>
      <c r="Y168" s="6">
        <v>166</v>
      </c>
      <c r="Z168">
        <v>2000</v>
      </c>
      <c r="AB168" s="6">
        <v>152</v>
      </c>
      <c r="AC168">
        <v>4</v>
      </c>
    </row>
    <row r="169" spans="1:29" x14ac:dyDescent="0.25">
      <c r="A169">
        <v>168</v>
      </c>
      <c r="B169" s="1">
        <v>44981</v>
      </c>
      <c r="C169" t="s">
        <v>196</v>
      </c>
      <c r="D169" t="s">
        <v>12</v>
      </c>
      <c r="E169">
        <v>53</v>
      </c>
      <c r="F169" t="s">
        <v>17</v>
      </c>
      <c r="G169">
        <v>1</v>
      </c>
      <c r="H169">
        <v>300</v>
      </c>
      <c r="I169">
        <v>300</v>
      </c>
      <c r="J169" t="str">
        <f t="shared" si="2"/>
        <v>46-60</v>
      </c>
      <c r="M169" s="6" t="s">
        <v>421</v>
      </c>
      <c r="N169">
        <v>1000</v>
      </c>
      <c r="V169" s="6">
        <v>152</v>
      </c>
      <c r="W169">
        <v>2000</v>
      </c>
      <c r="Y169" s="6">
        <v>167</v>
      </c>
      <c r="Z169">
        <v>150</v>
      </c>
      <c r="AB169" s="6">
        <v>153</v>
      </c>
      <c r="AC169">
        <v>2</v>
      </c>
    </row>
    <row r="170" spans="1:29" x14ac:dyDescent="0.25">
      <c r="A170">
        <v>169</v>
      </c>
      <c r="B170" s="1">
        <v>45247</v>
      </c>
      <c r="C170" t="s">
        <v>197</v>
      </c>
      <c r="D170" t="s">
        <v>12</v>
      </c>
      <c r="E170">
        <v>18</v>
      </c>
      <c r="F170" t="s">
        <v>13</v>
      </c>
      <c r="G170">
        <v>3</v>
      </c>
      <c r="H170">
        <v>500</v>
      </c>
      <c r="I170">
        <v>1500</v>
      </c>
      <c r="J170" t="str">
        <f t="shared" si="2"/>
        <v>18-25</v>
      </c>
      <c r="M170" s="6" t="s">
        <v>380</v>
      </c>
      <c r="N170">
        <v>1000</v>
      </c>
      <c r="V170" s="6">
        <v>153</v>
      </c>
      <c r="W170">
        <v>1000</v>
      </c>
      <c r="Y170" s="6">
        <v>168</v>
      </c>
      <c r="Z170">
        <v>300</v>
      </c>
      <c r="AB170" s="6">
        <v>154</v>
      </c>
      <c r="AC170">
        <v>3</v>
      </c>
    </row>
    <row r="171" spans="1:29" x14ac:dyDescent="0.25">
      <c r="A171">
        <v>170</v>
      </c>
      <c r="B171" s="1">
        <v>45079</v>
      </c>
      <c r="C171" t="s">
        <v>198</v>
      </c>
      <c r="D171" t="s">
        <v>16</v>
      </c>
      <c r="E171">
        <v>25</v>
      </c>
      <c r="F171" t="s">
        <v>17</v>
      </c>
      <c r="G171">
        <v>2</v>
      </c>
      <c r="H171">
        <v>25</v>
      </c>
      <c r="I171">
        <v>50</v>
      </c>
      <c r="J171" t="str">
        <f t="shared" si="2"/>
        <v>18-25</v>
      </c>
      <c r="M171" s="6" t="s">
        <v>690</v>
      </c>
      <c r="N171">
        <v>1000</v>
      </c>
      <c r="V171" s="6">
        <v>154</v>
      </c>
      <c r="W171">
        <v>900</v>
      </c>
      <c r="Y171" s="6">
        <v>169</v>
      </c>
      <c r="Z171">
        <v>1500</v>
      </c>
      <c r="AB171" s="6">
        <v>155</v>
      </c>
      <c r="AC171">
        <v>4</v>
      </c>
    </row>
    <row r="172" spans="1:29" x14ac:dyDescent="0.25">
      <c r="A172">
        <v>171</v>
      </c>
      <c r="B172" s="1">
        <v>45254</v>
      </c>
      <c r="C172" t="s">
        <v>199</v>
      </c>
      <c r="D172" t="s">
        <v>16</v>
      </c>
      <c r="E172">
        <v>52</v>
      </c>
      <c r="F172" t="s">
        <v>17</v>
      </c>
      <c r="G172">
        <v>3</v>
      </c>
      <c r="H172">
        <v>300</v>
      </c>
      <c r="I172">
        <v>900</v>
      </c>
      <c r="J172" t="str">
        <f t="shared" si="2"/>
        <v>46-60</v>
      </c>
      <c r="M172" s="6" t="s">
        <v>481</v>
      </c>
      <c r="N172">
        <v>1000</v>
      </c>
      <c r="V172" s="6">
        <v>155</v>
      </c>
      <c r="W172">
        <v>2000</v>
      </c>
      <c r="Y172" s="6">
        <v>170</v>
      </c>
      <c r="Z172">
        <v>50</v>
      </c>
      <c r="AB172" s="6">
        <v>156</v>
      </c>
      <c r="AC172">
        <v>4</v>
      </c>
    </row>
    <row r="173" spans="1:29" x14ac:dyDescent="0.25">
      <c r="A173">
        <v>172</v>
      </c>
      <c r="B173" s="1">
        <v>45186</v>
      </c>
      <c r="C173" t="s">
        <v>200</v>
      </c>
      <c r="D173" t="s">
        <v>12</v>
      </c>
      <c r="E173">
        <v>32</v>
      </c>
      <c r="F173" t="s">
        <v>13</v>
      </c>
      <c r="G173">
        <v>2</v>
      </c>
      <c r="H173">
        <v>25</v>
      </c>
      <c r="I173">
        <v>50</v>
      </c>
      <c r="J173" t="str">
        <f t="shared" si="2"/>
        <v>26-35</v>
      </c>
      <c r="M173" s="6" t="s">
        <v>628</v>
      </c>
      <c r="N173">
        <v>1000</v>
      </c>
      <c r="V173" s="6">
        <v>156</v>
      </c>
      <c r="W173">
        <v>100</v>
      </c>
      <c r="Y173" s="6">
        <v>171</v>
      </c>
      <c r="Z173">
        <v>900</v>
      </c>
      <c r="AB173" s="6">
        <v>157</v>
      </c>
      <c r="AC173">
        <v>4</v>
      </c>
    </row>
    <row r="174" spans="1:29" x14ac:dyDescent="0.25">
      <c r="A174">
        <v>173</v>
      </c>
      <c r="B174" s="1">
        <v>45238</v>
      </c>
      <c r="C174" t="s">
        <v>201</v>
      </c>
      <c r="D174" t="s">
        <v>12</v>
      </c>
      <c r="E174">
        <v>64</v>
      </c>
      <c r="F174" t="s">
        <v>20</v>
      </c>
      <c r="G174">
        <v>4</v>
      </c>
      <c r="H174">
        <v>30</v>
      </c>
      <c r="I174">
        <v>120</v>
      </c>
      <c r="J174" t="b">
        <f t="shared" si="2"/>
        <v>0</v>
      </c>
      <c r="M174" s="6" t="s">
        <v>489</v>
      </c>
      <c r="N174">
        <v>1000</v>
      </c>
      <c r="V174" s="6">
        <v>157</v>
      </c>
      <c r="W174">
        <v>2000</v>
      </c>
      <c r="Y174" s="6">
        <v>172</v>
      </c>
      <c r="Z174">
        <v>50</v>
      </c>
      <c r="AB174" s="6">
        <v>158</v>
      </c>
      <c r="AC174">
        <v>2</v>
      </c>
    </row>
    <row r="175" spans="1:29" x14ac:dyDescent="0.25">
      <c r="A175">
        <v>174</v>
      </c>
      <c r="B175" s="1">
        <v>45028</v>
      </c>
      <c r="C175" t="s">
        <v>202</v>
      </c>
      <c r="D175" t="s">
        <v>16</v>
      </c>
      <c r="E175">
        <v>39</v>
      </c>
      <c r="F175" t="s">
        <v>13</v>
      </c>
      <c r="G175">
        <v>1</v>
      </c>
      <c r="H175">
        <v>300</v>
      </c>
      <c r="I175">
        <v>300</v>
      </c>
      <c r="J175" t="str">
        <f t="shared" si="2"/>
        <v>36-45</v>
      </c>
      <c r="M175" s="6" t="s">
        <v>423</v>
      </c>
      <c r="N175">
        <v>1000</v>
      </c>
      <c r="V175" s="6">
        <v>158</v>
      </c>
      <c r="W175">
        <v>600</v>
      </c>
      <c r="Y175" s="6">
        <v>173</v>
      </c>
      <c r="Z175">
        <v>120</v>
      </c>
      <c r="AB175" s="6">
        <v>159</v>
      </c>
      <c r="AC175">
        <v>4</v>
      </c>
    </row>
    <row r="176" spans="1:29" x14ac:dyDescent="0.25">
      <c r="A176">
        <v>175</v>
      </c>
      <c r="B176" s="1">
        <v>45005</v>
      </c>
      <c r="C176" t="s">
        <v>203</v>
      </c>
      <c r="D176" t="s">
        <v>16</v>
      </c>
      <c r="E176">
        <v>31</v>
      </c>
      <c r="F176" t="s">
        <v>20</v>
      </c>
      <c r="G176">
        <v>4</v>
      </c>
      <c r="H176">
        <v>25</v>
      </c>
      <c r="I176">
        <v>100</v>
      </c>
      <c r="J176" t="str">
        <f t="shared" si="2"/>
        <v>26-35</v>
      </c>
      <c r="M176" s="6" t="s">
        <v>498</v>
      </c>
      <c r="N176">
        <v>1000</v>
      </c>
      <c r="V176" s="6">
        <v>159</v>
      </c>
      <c r="W176">
        <v>200</v>
      </c>
      <c r="Y176" s="6">
        <v>174</v>
      </c>
      <c r="Z176">
        <v>300</v>
      </c>
      <c r="AB176" s="6">
        <v>160</v>
      </c>
      <c r="AC176">
        <v>2</v>
      </c>
    </row>
    <row r="177" spans="1:29" x14ac:dyDescent="0.25">
      <c r="A177">
        <v>176</v>
      </c>
      <c r="B177" s="1">
        <v>45118</v>
      </c>
      <c r="C177" t="s">
        <v>204</v>
      </c>
      <c r="D177" t="s">
        <v>16</v>
      </c>
      <c r="E177">
        <v>43</v>
      </c>
      <c r="F177" t="s">
        <v>13</v>
      </c>
      <c r="G177">
        <v>2</v>
      </c>
      <c r="H177">
        <v>50</v>
      </c>
      <c r="I177">
        <v>100</v>
      </c>
      <c r="J177" t="str">
        <f t="shared" si="2"/>
        <v>36-45</v>
      </c>
      <c r="M177" s="6" t="s">
        <v>460</v>
      </c>
      <c r="N177">
        <v>1000</v>
      </c>
      <c r="V177" s="6">
        <v>160</v>
      </c>
      <c r="W177">
        <v>100</v>
      </c>
      <c r="Y177" s="6">
        <v>175</v>
      </c>
      <c r="Z177">
        <v>100</v>
      </c>
      <c r="AB177" s="6">
        <v>161</v>
      </c>
      <c r="AC177">
        <v>2</v>
      </c>
    </row>
    <row r="178" spans="1:29" x14ac:dyDescent="0.25">
      <c r="A178">
        <v>177</v>
      </c>
      <c r="B178" s="1">
        <v>45009</v>
      </c>
      <c r="C178" t="s">
        <v>205</v>
      </c>
      <c r="D178" t="s">
        <v>12</v>
      </c>
      <c r="E178">
        <v>45</v>
      </c>
      <c r="F178" t="s">
        <v>13</v>
      </c>
      <c r="G178">
        <v>2</v>
      </c>
      <c r="H178">
        <v>50</v>
      </c>
      <c r="I178">
        <v>100</v>
      </c>
      <c r="J178" t="str">
        <f t="shared" si="2"/>
        <v>36-45</v>
      </c>
      <c r="M178" s="6" t="s">
        <v>446</v>
      </c>
      <c r="N178">
        <v>1000</v>
      </c>
      <c r="V178" s="6">
        <v>161</v>
      </c>
      <c r="W178">
        <v>1000</v>
      </c>
      <c r="Y178" s="6">
        <v>176</v>
      </c>
      <c r="Z178">
        <v>100</v>
      </c>
      <c r="AB178" s="6">
        <v>162</v>
      </c>
      <c r="AC178">
        <v>2</v>
      </c>
    </row>
    <row r="179" spans="1:29" x14ac:dyDescent="0.25">
      <c r="A179">
        <v>178</v>
      </c>
      <c r="B179" s="1">
        <v>45203</v>
      </c>
      <c r="C179" t="s">
        <v>206</v>
      </c>
      <c r="D179" t="s">
        <v>12</v>
      </c>
      <c r="E179">
        <v>40</v>
      </c>
      <c r="F179" t="s">
        <v>17</v>
      </c>
      <c r="G179">
        <v>2</v>
      </c>
      <c r="H179">
        <v>30</v>
      </c>
      <c r="I179">
        <v>60</v>
      </c>
      <c r="J179" t="str">
        <f t="shared" si="2"/>
        <v>36-45</v>
      </c>
      <c r="M179" s="6" t="s">
        <v>617</v>
      </c>
      <c r="N179">
        <v>1000</v>
      </c>
      <c r="V179" s="6">
        <v>162</v>
      </c>
      <c r="W179">
        <v>60</v>
      </c>
      <c r="Y179" s="6">
        <v>177</v>
      </c>
      <c r="Z179">
        <v>100</v>
      </c>
      <c r="AB179" s="6">
        <v>163</v>
      </c>
      <c r="AC179">
        <v>3</v>
      </c>
    </row>
    <row r="180" spans="1:29" x14ac:dyDescent="0.25">
      <c r="A180">
        <v>179</v>
      </c>
      <c r="B180" s="1">
        <v>45198</v>
      </c>
      <c r="C180" t="s">
        <v>207</v>
      </c>
      <c r="D180" t="s">
        <v>12</v>
      </c>
      <c r="E180">
        <v>31</v>
      </c>
      <c r="F180" t="s">
        <v>20</v>
      </c>
      <c r="G180">
        <v>1</v>
      </c>
      <c r="H180">
        <v>300</v>
      </c>
      <c r="I180">
        <v>300</v>
      </c>
      <c r="J180" t="str">
        <f t="shared" si="2"/>
        <v>26-35</v>
      </c>
      <c r="M180" s="6" t="s">
        <v>432</v>
      </c>
      <c r="N180">
        <v>1000</v>
      </c>
      <c r="V180" s="6">
        <v>163</v>
      </c>
      <c r="W180">
        <v>150</v>
      </c>
      <c r="Y180" s="6">
        <v>178</v>
      </c>
      <c r="Z180">
        <v>60</v>
      </c>
      <c r="AB180" s="6">
        <v>164</v>
      </c>
      <c r="AC180">
        <v>3</v>
      </c>
    </row>
    <row r="181" spans="1:29" x14ac:dyDescent="0.25">
      <c r="A181">
        <v>180</v>
      </c>
      <c r="B181" s="1">
        <v>44927</v>
      </c>
      <c r="C181" t="s">
        <v>208</v>
      </c>
      <c r="D181" t="s">
        <v>12</v>
      </c>
      <c r="E181">
        <v>41</v>
      </c>
      <c r="F181" t="s">
        <v>17</v>
      </c>
      <c r="G181">
        <v>3</v>
      </c>
      <c r="H181">
        <v>300</v>
      </c>
      <c r="I181">
        <v>900</v>
      </c>
      <c r="J181" t="str">
        <f t="shared" si="2"/>
        <v>36-45</v>
      </c>
      <c r="M181" s="6" t="s">
        <v>633</v>
      </c>
      <c r="N181">
        <v>1000</v>
      </c>
      <c r="V181" s="6">
        <v>164</v>
      </c>
      <c r="W181">
        <v>1500</v>
      </c>
      <c r="Y181" s="6">
        <v>179</v>
      </c>
      <c r="Z181">
        <v>300</v>
      </c>
      <c r="AB181" s="6">
        <v>165</v>
      </c>
      <c r="AC181">
        <v>4</v>
      </c>
    </row>
    <row r="182" spans="1:29" x14ac:dyDescent="0.25">
      <c r="A182">
        <v>181</v>
      </c>
      <c r="B182" s="1">
        <v>45233</v>
      </c>
      <c r="C182" t="s">
        <v>209</v>
      </c>
      <c r="D182" t="s">
        <v>12</v>
      </c>
      <c r="E182">
        <v>19</v>
      </c>
      <c r="F182" t="s">
        <v>20</v>
      </c>
      <c r="G182">
        <v>4</v>
      </c>
      <c r="H182">
        <v>300</v>
      </c>
      <c r="I182">
        <v>1200</v>
      </c>
      <c r="J182" t="str">
        <f t="shared" si="2"/>
        <v>18-25</v>
      </c>
      <c r="M182" s="6" t="s">
        <v>374</v>
      </c>
      <c r="N182">
        <v>1000</v>
      </c>
      <c r="V182" s="6">
        <v>165</v>
      </c>
      <c r="W182">
        <v>1200</v>
      </c>
      <c r="Y182" s="6">
        <v>180</v>
      </c>
      <c r="Z182">
        <v>900</v>
      </c>
      <c r="AB182" s="6">
        <v>166</v>
      </c>
      <c r="AC182">
        <v>4</v>
      </c>
    </row>
    <row r="183" spans="1:29" x14ac:dyDescent="0.25">
      <c r="A183">
        <v>182</v>
      </c>
      <c r="B183" s="1">
        <v>45092</v>
      </c>
      <c r="C183" t="s">
        <v>210</v>
      </c>
      <c r="D183" t="s">
        <v>12</v>
      </c>
      <c r="E183">
        <v>62</v>
      </c>
      <c r="F183" t="s">
        <v>13</v>
      </c>
      <c r="G183">
        <v>4</v>
      </c>
      <c r="H183">
        <v>30</v>
      </c>
      <c r="I183">
        <v>120</v>
      </c>
      <c r="J183" t="b">
        <f t="shared" si="2"/>
        <v>0</v>
      </c>
      <c r="M183" s="6" t="s">
        <v>649</v>
      </c>
      <c r="N183">
        <v>1000</v>
      </c>
      <c r="V183" s="6">
        <v>166</v>
      </c>
      <c r="W183">
        <v>2000</v>
      </c>
      <c r="Y183" s="6">
        <v>181</v>
      </c>
      <c r="Z183">
        <v>1200</v>
      </c>
      <c r="AB183" s="6">
        <v>167</v>
      </c>
      <c r="AC183">
        <v>3</v>
      </c>
    </row>
    <row r="184" spans="1:29" x14ac:dyDescent="0.25">
      <c r="A184">
        <v>183</v>
      </c>
      <c r="B184" s="1">
        <v>45177</v>
      </c>
      <c r="C184" t="s">
        <v>211</v>
      </c>
      <c r="D184" t="s">
        <v>16</v>
      </c>
      <c r="E184">
        <v>43</v>
      </c>
      <c r="F184" t="s">
        <v>13</v>
      </c>
      <c r="G184">
        <v>3</v>
      </c>
      <c r="H184">
        <v>300</v>
      </c>
      <c r="I184">
        <v>900</v>
      </c>
      <c r="J184" t="str">
        <f t="shared" si="2"/>
        <v>36-45</v>
      </c>
      <c r="M184" s="6" t="s">
        <v>410</v>
      </c>
      <c r="N184">
        <v>1000</v>
      </c>
      <c r="V184" s="6">
        <v>167</v>
      </c>
      <c r="W184">
        <v>150</v>
      </c>
      <c r="Y184" s="6">
        <v>182</v>
      </c>
      <c r="Z184">
        <v>120</v>
      </c>
      <c r="AB184" s="6">
        <v>168</v>
      </c>
      <c r="AC184">
        <v>1</v>
      </c>
    </row>
    <row r="185" spans="1:29" x14ac:dyDescent="0.25">
      <c r="A185">
        <v>184</v>
      </c>
      <c r="B185" s="1">
        <v>44936</v>
      </c>
      <c r="C185" t="s">
        <v>212</v>
      </c>
      <c r="D185" t="s">
        <v>12</v>
      </c>
      <c r="E185">
        <v>31</v>
      </c>
      <c r="F185" t="s">
        <v>20</v>
      </c>
      <c r="G185">
        <v>4</v>
      </c>
      <c r="H185">
        <v>50</v>
      </c>
      <c r="I185">
        <v>200</v>
      </c>
      <c r="J185" t="str">
        <f t="shared" si="2"/>
        <v>26-35</v>
      </c>
      <c r="M185" s="6" t="s">
        <v>688</v>
      </c>
      <c r="N185">
        <v>1000</v>
      </c>
      <c r="V185" s="6">
        <v>168</v>
      </c>
      <c r="W185">
        <v>300</v>
      </c>
      <c r="Y185" s="6">
        <v>183</v>
      </c>
      <c r="Z185">
        <v>900</v>
      </c>
      <c r="AB185" s="6">
        <v>169</v>
      </c>
      <c r="AC185">
        <v>3</v>
      </c>
    </row>
    <row r="186" spans="1:29" x14ac:dyDescent="0.25">
      <c r="A186">
        <v>185</v>
      </c>
      <c r="B186" s="1">
        <v>44984</v>
      </c>
      <c r="C186" t="s">
        <v>213</v>
      </c>
      <c r="D186" t="s">
        <v>12</v>
      </c>
      <c r="E186">
        <v>24</v>
      </c>
      <c r="F186" t="s">
        <v>17</v>
      </c>
      <c r="G186">
        <v>1</v>
      </c>
      <c r="H186">
        <v>25</v>
      </c>
      <c r="I186">
        <v>25</v>
      </c>
      <c r="J186" t="str">
        <f t="shared" si="2"/>
        <v>18-25</v>
      </c>
      <c r="M186" s="6" t="s">
        <v>562</v>
      </c>
      <c r="N186">
        <v>1000</v>
      </c>
      <c r="V186" s="6">
        <v>169</v>
      </c>
      <c r="W186">
        <v>1500</v>
      </c>
      <c r="Y186" s="6">
        <v>184</v>
      </c>
      <c r="Z186">
        <v>200</v>
      </c>
      <c r="AB186" s="6">
        <v>170</v>
      </c>
      <c r="AC186">
        <v>2</v>
      </c>
    </row>
    <row r="187" spans="1:29" x14ac:dyDescent="0.25">
      <c r="A187">
        <v>186</v>
      </c>
      <c r="B187" s="1">
        <v>45112</v>
      </c>
      <c r="C187" t="s">
        <v>214</v>
      </c>
      <c r="D187" t="s">
        <v>12</v>
      </c>
      <c r="E187">
        <v>20</v>
      </c>
      <c r="F187" t="s">
        <v>17</v>
      </c>
      <c r="G187">
        <v>4</v>
      </c>
      <c r="H187">
        <v>50</v>
      </c>
      <c r="I187">
        <v>200</v>
      </c>
      <c r="J187" t="str">
        <f t="shared" si="2"/>
        <v>18-25</v>
      </c>
      <c r="M187" s="6" t="s">
        <v>325</v>
      </c>
      <c r="N187">
        <v>1000</v>
      </c>
      <c r="V187" s="6">
        <v>170</v>
      </c>
      <c r="W187">
        <v>50</v>
      </c>
      <c r="Y187" s="6">
        <v>185</v>
      </c>
      <c r="Z187">
        <v>25</v>
      </c>
      <c r="AB187" s="6">
        <v>171</v>
      </c>
      <c r="AC187">
        <v>3</v>
      </c>
    </row>
    <row r="188" spans="1:29" x14ac:dyDescent="0.25">
      <c r="A188">
        <v>187</v>
      </c>
      <c r="B188" s="1">
        <v>45084</v>
      </c>
      <c r="C188" t="s">
        <v>215</v>
      </c>
      <c r="D188" t="s">
        <v>16</v>
      </c>
      <c r="E188">
        <v>64</v>
      </c>
      <c r="F188" t="s">
        <v>17</v>
      </c>
      <c r="G188">
        <v>2</v>
      </c>
      <c r="H188">
        <v>50</v>
      </c>
      <c r="I188">
        <v>100</v>
      </c>
      <c r="J188" t="b">
        <f t="shared" si="2"/>
        <v>0</v>
      </c>
      <c r="M188" s="6" t="s">
        <v>15</v>
      </c>
      <c r="N188">
        <v>1000</v>
      </c>
      <c r="V188" s="6">
        <v>171</v>
      </c>
      <c r="W188">
        <v>900</v>
      </c>
      <c r="Y188" s="6">
        <v>186</v>
      </c>
      <c r="Z188">
        <v>200</v>
      </c>
      <c r="AB188" s="6">
        <v>172</v>
      </c>
      <c r="AC188">
        <v>2</v>
      </c>
    </row>
    <row r="189" spans="1:29" x14ac:dyDescent="0.25">
      <c r="A189">
        <v>188</v>
      </c>
      <c r="B189" s="1">
        <v>45049</v>
      </c>
      <c r="C189" t="s">
        <v>216</v>
      </c>
      <c r="D189" t="s">
        <v>12</v>
      </c>
      <c r="E189">
        <v>40</v>
      </c>
      <c r="F189" t="s">
        <v>17</v>
      </c>
      <c r="G189">
        <v>3</v>
      </c>
      <c r="H189">
        <v>25</v>
      </c>
      <c r="I189">
        <v>75</v>
      </c>
      <c r="J189" t="str">
        <f t="shared" si="2"/>
        <v>36-45</v>
      </c>
      <c r="M189" s="6" t="s">
        <v>263</v>
      </c>
      <c r="N189">
        <v>1000</v>
      </c>
      <c r="V189" s="6">
        <v>172</v>
      </c>
      <c r="W189">
        <v>50</v>
      </c>
      <c r="Y189" s="6">
        <v>187</v>
      </c>
      <c r="Z189">
        <v>100</v>
      </c>
      <c r="AB189" s="6">
        <v>173</v>
      </c>
      <c r="AC189">
        <v>4</v>
      </c>
    </row>
    <row r="190" spans="1:29" x14ac:dyDescent="0.25">
      <c r="A190">
        <v>189</v>
      </c>
      <c r="B190" s="1">
        <v>44956</v>
      </c>
      <c r="C190" t="s">
        <v>217</v>
      </c>
      <c r="D190" t="s">
        <v>12</v>
      </c>
      <c r="E190">
        <v>63</v>
      </c>
      <c r="F190" t="s">
        <v>13</v>
      </c>
      <c r="G190">
        <v>1</v>
      </c>
      <c r="H190">
        <v>50</v>
      </c>
      <c r="I190">
        <v>50</v>
      </c>
      <c r="J190" t="b">
        <f t="shared" si="2"/>
        <v>0</v>
      </c>
      <c r="M190" s="6" t="s">
        <v>132</v>
      </c>
      <c r="N190">
        <v>1000</v>
      </c>
      <c r="V190" s="6">
        <v>173</v>
      </c>
      <c r="W190">
        <v>120</v>
      </c>
      <c r="Y190" s="6">
        <v>188</v>
      </c>
      <c r="Z190">
        <v>75</v>
      </c>
      <c r="AB190" s="6">
        <v>174</v>
      </c>
      <c r="AC190">
        <v>1</v>
      </c>
    </row>
    <row r="191" spans="1:29" x14ac:dyDescent="0.25">
      <c r="A191">
        <v>190</v>
      </c>
      <c r="B191" s="1">
        <v>45050</v>
      </c>
      <c r="C191" t="s">
        <v>218</v>
      </c>
      <c r="D191" t="s">
        <v>16</v>
      </c>
      <c r="E191">
        <v>60</v>
      </c>
      <c r="F191" t="s">
        <v>13</v>
      </c>
      <c r="G191">
        <v>3</v>
      </c>
      <c r="H191">
        <v>30</v>
      </c>
      <c r="I191">
        <v>90</v>
      </c>
      <c r="J191" t="str">
        <f t="shared" si="2"/>
        <v>46-60</v>
      </c>
      <c r="M191" s="6" t="s">
        <v>302</v>
      </c>
      <c r="N191">
        <v>1000</v>
      </c>
      <c r="V191" s="6">
        <v>174</v>
      </c>
      <c r="W191">
        <v>300</v>
      </c>
      <c r="Y191" s="6">
        <v>189</v>
      </c>
      <c r="Z191">
        <v>50</v>
      </c>
      <c r="AB191" s="6">
        <v>175</v>
      </c>
      <c r="AC191">
        <v>4</v>
      </c>
    </row>
    <row r="192" spans="1:29" x14ac:dyDescent="0.25">
      <c r="A192">
        <v>191</v>
      </c>
      <c r="B192" s="1">
        <v>45217</v>
      </c>
      <c r="C192" t="s">
        <v>219</v>
      </c>
      <c r="D192" t="s">
        <v>12</v>
      </c>
      <c r="E192">
        <v>64</v>
      </c>
      <c r="F192" t="s">
        <v>13</v>
      </c>
      <c r="G192">
        <v>1</v>
      </c>
      <c r="H192">
        <v>25</v>
      </c>
      <c r="I192">
        <v>25</v>
      </c>
      <c r="J192" t="b">
        <f t="shared" si="2"/>
        <v>0</v>
      </c>
      <c r="M192" s="6" t="s">
        <v>145</v>
      </c>
      <c r="N192">
        <v>1000</v>
      </c>
      <c r="V192" s="6">
        <v>175</v>
      </c>
      <c r="W192">
        <v>100</v>
      </c>
      <c r="Y192" s="6">
        <v>190</v>
      </c>
      <c r="Z192">
        <v>90</v>
      </c>
      <c r="AB192" s="6">
        <v>176</v>
      </c>
      <c r="AC192">
        <v>2</v>
      </c>
    </row>
    <row r="193" spans="1:29" x14ac:dyDescent="0.25">
      <c r="A193">
        <v>192</v>
      </c>
      <c r="B193" s="1">
        <v>44967</v>
      </c>
      <c r="C193" t="s">
        <v>220</v>
      </c>
      <c r="D193" t="s">
        <v>12</v>
      </c>
      <c r="E193">
        <v>62</v>
      </c>
      <c r="F193" t="s">
        <v>13</v>
      </c>
      <c r="G193">
        <v>2</v>
      </c>
      <c r="H193">
        <v>50</v>
      </c>
      <c r="I193">
        <v>100</v>
      </c>
      <c r="J193" t="b">
        <f t="shared" si="2"/>
        <v>0</v>
      </c>
      <c r="M193" s="6" t="s">
        <v>122</v>
      </c>
      <c r="N193">
        <v>1000</v>
      </c>
      <c r="V193" s="6">
        <v>176</v>
      </c>
      <c r="W193">
        <v>100</v>
      </c>
      <c r="Y193" s="6">
        <v>191</v>
      </c>
      <c r="Z193">
        <v>25</v>
      </c>
      <c r="AB193" s="6">
        <v>177</v>
      </c>
      <c r="AC193">
        <v>2</v>
      </c>
    </row>
    <row r="194" spans="1:29" x14ac:dyDescent="0.25">
      <c r="A194">
        <v>193</v>
      </c>
      <c r="B194" s="1">
        <v>44970</v>
      </c>
      <c r="C194" t="s">
        <v>221</v>
      </c>
      <c r="D194" t="s">
        <v>12</v>
      </c>
      <c r="E194">
        <v>35</v>
      </c>
      <c r="F194" t="s">
        <v>13</v>
      </c>
      <c r="G194">
        <v>3</v>
      </c>
      <c r="H194">
        <v>500</v>
      </c>
      <c r="I194">
        <v>1500</v>
      </c>
      <c r="J194" t="str">
        <f>IF(AND(E194&gt;=18,E194&lt;=25),"18-25",IF(AND(E194&gt;=26,E194&lt;=35),"26-35",IF(AND(E194&gt;=36,E194&lt;=45),"36-45",IF(AND(E194&gt;=46,E194&lt;=60),"46-60"))))</f>
        <v>26-35</v>
      </c>
      <c r="M194" s="6" t="s">
        <v>165</v>
      </c>
      <c r="N194">
        <v>1000</v>
      </c>
      <c r="V194" s="6">
        <v>177</v>
      </c>
      <c r="W194">
        <v>100</v>
      </c>
      <c r="Y194" s="6">
        <v>192</v>
      </c>
      <c r="Z194">
        <v>100</v>
      </c>
      <c r="AB194" s="6">
        <v>178</v>
      </c>
      <c r="AC194">
        <v>2</v>
      </c>
    </row>
    <row r="195" spans="1:29" x14ac:dyDescent="0.25">
      <c r="A195">
        <v>194</v>
      </c>
      <c r="B195" s="1">
        <v>45175</v>
      </c>
      <c r="C195" t="s">
        <v>222</v>
      </c>
      <c r="D195" t="s">
        <v>12</v>
      </c>
      <c r="E195">
        <v>55</v>
      </c>
      <c r="F195" t="s">
        <v>17</v>
      </c>
      <c r="G195">
        <v>4</v>
      </c>
      <c r="H195">
        <v>50</v>
      </c>
      <c r="I195">
        <v>200</v>
      </c>
      <c r="J195" t="str">
        <f t="shared" ref="J195:J258" si="3">IF(AND(E195&gt;=18,E195&lt;=25),"18-25",IF(AND(E195&gt;=26,E195&lt;=35),"26-35",IF(AND(E195&gt;=36,E195&lt;=45),"36-45",IF(AND(E195&gt;=46,E195&lt;=60),"46-60"))))</f>
        <v>46-60</v>
      </c>
      <c r="M195" s="6" t="s">
        <v>265</v>
      </c>
      <c r="N195">
        <v>1000</v>
      </c>
      <c r="V195" s="6">
        <v>178</v>
      </c>
      <c r="W195">
        <v>60</v>
      </c>
      <c r="Y195" s="6">
        <v>193</v>
      </c>
      <c r="Z195">
        <v>1500</v>
      </c>
      <c r="AB195" s="6">
        <v>179</v>
      </c>
      <c r="AC195">
        <v>1</v>
      </c>
    </row>
    <row r="196" spans="1:29" x14ac:dyDescent="0.25">
      <c r="A196">
        <v>195</v>
      </c>
      <c r="B196" s="1">
        <v>44962</v>
      </c>
      <c r="C196" t="s">
        <v>223</v>
      </c>
      <c r="D196" t="s">
        <v>12</v>
      </c>
      <c r="E196">
        <v>52</v>
      </c>
      <c r="F196" t="s">
        <v>17</v>
      </c>
      <c r="G196">
        <v>1</v>
      </c>
      <c r="H196">
        <v>30</v>
      </c>
      <c r="I196">
        <v>30</v>
      </c>
      <c r="J196" t="str">
        <f t="shared" si="3"/>
        <v>46-60</v>
      </c>
      <c r="M196" s="6" t="s">
        <v>181</v>
      </c>
      <c r="N196">
        <v>1000</v>
      </c>
      <c r="V196" s="6">
        <v>179</v>
      </c>
      <c r="W196">
        <v>300</v>
      </c>
      <c r="Y196" s="6">
        <v>194</v>
      </c>
      <c r="Z196">
        <v>200</v>
      </c>
      <c r="AB196" s="6">
        <v>180</v>
      </c>
      <c r="AC196">
        <v>3</v>
      </c>
    </row>
    <row r="197" spans="1:29" x14ac:dyDescent="0.25">
      <c r="A197">
        <v>196</v>
      </c>
      <c r="B197" s="1">
        <v>45199</v>
      </c>
      <c r="C197" t="s">
        <v>224</v>
      </c>
      <c r="D197" t="s">
        <v>16</v>
      </c>
      <c r="E197">
        <v>32</v>
      </c>
      <c r="F197" t="s">
        <v>17</v>
      </c>
      <c r="G197">
        <v>3</v>
      </c>
      <c r="H197">
        <v>300</v>
      </c>
      <c r="I197">
        <v>900</v>
      </c>
      <c r="J197" t="str">
        <f t="shared" si="3"/>
        <v>26-35</v>
      </c>
      <c r="M197" s="6" t="s">
        <v>284</v>
      </c>
      <c r="N197">
        <v>1000</v>
      </c>
      <c r="V197" s="6">
        <v>180</v>
      </c>
      <c r="W197">
        <v>900</v>
      </c>
      <c r="Y197" s="6">
        <v>195</v>
      </c>
      <c r="Z197">
        <v>30</v>
      </c>
      <c r="AB197" s="6">
        <v>181</v>
      </c>
      <c r="AC197">
        <v>4</v>
      </c>
    </row>
    <row r="198" spans="1:29" x14ac:dyDescent="0.25">
      <c r="A198">
        <v>197</v>
      </c>
      <c r="B198" s="1">
        <v>44991</v>
      </c>
      <c r="C198" t="s">
        <v>225</v>
      </c>
      <c r="D198" t="s">
        <v>16</v>
      </c>
      <c r="E198">
        <v>42</v>
      </c>
      <c r="F198" t="s">
        <v>17</v>
      </c>
      <c r="G198">
        <v>4</v>
      </c>
      <c r="H198">
        <v>50</v>
      </c>
      <c r="I198">
        <v>200</v>
      </c>
      <c r="J198" t="str">
        <f t="shared" si="3"/>
        <v>36-45</v>
      </c>
      <c r="M198" s="6" t="s">
        <v>189</v>
      </c>
      <c r="N198">
        <v>1000</v>
      </c>
      <c r="V198" s="6">
        <v>181</v>
      </c>
      <c r="W198">
        <v>1200</v>
      </c>
      <c r="Y198" s="6">
        <v>196</v>
      </c>
      <c r="Z198">
        <v>900</v>
      </c>
      <c r="AB198" s="6">
        <v>182</v>
      </c>
      <c r="AC198">
        <v>4</v>
      </c>
    </row>
    <row r="199" spans="1:29" x14ac:dyDescent="0.25">
      <c r="A199">
        <v>198</v>
      </c>
      <c r="B199" s="1">
        <v>44992</v>
      </c>
      <c r="C199" t="s">
        <v>226</v>
      </c>
      <c r="D199" t="s">
        <v>16</v>
      </c>
      <c r="E199">
        <v>54</v>
      </c>
      <c r="F199" t="s">
        <v>13</v>
      </c>
      <c r="G199">
        <v>3</v>
      </c>
      <c r="H199">
        <v>300</v>
      </c>
      <c r="I199">
        <v>900</v>
      </c>
      <c r="J199" t="str">
        <f t="shared" si="3"/>
        <v>46-60</v>
      </c>
      <c r="M199" s="6" t="s">
        <v>303</v>
      </c>
      <c r="N199">
        <v>1000</v>
      </c>
      <c r="V199" s="6">
        <v>182</v>
      </c>
      <c r="W199">
        <v>120</v>
      </c>
      <c r="Y199" s="6">
        <v>197</v>
      </c>
      <c r="Z199">
        <v>200</v>
      </c>
      <c r="AB199" s="6">
        <v>183</v>
      </c>
      <c r="AC199">
        <v>3</v>
      </c>
    </row>
    <row r="200" spans="1:29" x14ac:dyDescent="0.25">
      <c r="A200">
        <v>199</v>
      </c>
      <c r="B200" s="1">
        <v>45264</v>
      </c>
      <c r="C200" t="s">
        <v>227</v>
      </c>
      <c r="D200" t="s">
        <v>12</v>
      </c>
      <c r="E200">
        <v>45</v>
      </c>
      <c r="F200" t="s">
        <v>13</v>
      </c>
      <c r="G200">
        <v>3</v>
      </c>
      <c r="H200">
        <v>500</v>
      </c>
      <c r="I200">
        <v>1500</v>
      </c>
      <c r="J200" t="str">
        <f t="shared" si="3"/>
        <v>36-45</v>
      </c>
      <c r="M200" s="6" t="s">
        <v>77</v>
      </c>
      <c r="N200">
        <v>1000</v>
      </c>
      <c r="V200" s="6">
        <v>183</v>
      </c>
      <c r="W200">
        <v>900</v>
      </c>
      <c r="Y200" s="6">
        <v>198</v>
      </c>
      <c r="Z200">
        <v>900</v>
      </c>
      <c r="AB200" s="6">
        <v>184</v>
      </c>
      <c r="AC200">
        <v>4</v>
      </c>
    </row>
    <row r="201" spans="1:29" x14ac:dyDescent="0.25">
      <c r="A201">
        <v>200</v>
      </c>
      <c r="B201" s="1">
        <v>45170</v>
      </c>
      <c r="C201" t="s">
        <v>228</v>
      </c>
      <c r="D201" t="s">
        <v>12</v>
      </c>
      <c r="E201">
        <v>27</v>
      </c>
      <c r="F201" t="s">
        <v>13</v>
      </c>
      <c r="G201">
        <v>3</v>
      </c>
      <c r="H201">
        <v>50</v>
      </c>
      <c r="I201">
        <v>150</v>
      </c>
      <c r="J201" t="str">
        <f t="shared" si="3"/>
        <v>26-35</v>
      </c>
      <c r="M201" s="6" t="s">
        <v>327</v>
      </c>
      <c r="N201">
        <v>1000</v>
      </c>
      <c r="V201" s="6">
        <v>184</v>
      </c>
      <c r="W201">
        <v>200</v>
      </c>
      <c r="Y201" s="6">
        <v>199</v>
      </c>
      <c r="Z201">
        <v>1500</v>
      </c>
      <c r="AB201" s="6">
        <v>185</v>
      </c>
      <c r="AC201">
        <v>1</v>
      </c>
    </row>
    <row r="202" spans="1:29" x14ac:dyDescent="0.25">
      <c r="A202">
        <v>201</v>
      </c>
      <c r="B202" s="1">
        <v>45208</v>
      </c>
      <c r="C202" t="s">
        <v>229</v>
      </c>
      <c r="D202" t="s">
        <v>12</v>
      </c>
      <c r="E202">
        <v>56</v>
      </c>
      <c r="F202" t="s">
        <v>20</v>
      </c>
      <c r="G202">
        <v>1</v>
      </c>
      <c r="H202">
        <v>25</v>
      </c>
      <c r="I202">
        <v>25</v>
      </c>
      <c r="J202" t="str">
        <f t="shared" si="3"/>
        <v>46-60</v>
      </c>
      <c r="M202" s="6" t="s">
        <v>52</v>
      </c>
      <c r="N202">
        <v>1000</v>
      </c>
      <c r="V202" s="6">
        <v>185</v>
      </c>
      <c r="W202">
        <v>25</v>
      </c>
      <c r="Y202" s="6">
        <v>200</v>
      </c>
      <c r="Z202">
        <v>150</v>
      </c>
      <c r="AB202" s="6">
        <v>186</v>
      </c>
      <c r="AC202">
        <v>4</v>
      </c>
    </row>
    <row r="203" spans="1:29" x14ac:dyDescent="0.25">
      <c r="A203">
        <v>202</v>
      </c>
      <c r="B203" s="1">
        <v>45011</v>
      </c>
      <c r="C203" t="s">
        <v>230</v>
      </c>
      <c r="D203" t="s">
        <v>16</v>
      </c>
      <c r="E203">
        <v>34</v>
      </c>
      <c r="F203" t="s">
        <v>17</v>
      </c>
      <c r="G203">
        <v>4</v>
      </c>
      <c r="H203">
        <v>300</v>
      </c>
      <c r="I203">
        <v>1200</v>
      </c>
      <c r="J203" t="str">
        <f t="shared" si="3"/>
        <v>26-35</v>
      </c>
      <c r="M203" s="6" t="s">
        <v>231</v>
      </c>
      <c r="N203">
        <v>1000</v>
      </c>
      <c r="V203" s="6">
        <v>186</v>
      </c>
      <c r="W203">
        <v>200</v>
      </c>
      <c r="Y203" s="6">
        <v>201</v>
      </c>
      <c r="Z203">
        <v>25</v>
      </c>
      <c r="AB203" s="6">
        <v>187</v>
      </c>
      <c r="AC203">
        <v>2</v>
      </c>
    </row>
    <row r="204" spans="1:29" x14ac:dyDescent="0.25">
      <c r="A204">
        <v>203</v>
      </c>
      <c r="B204" s="1">
        <v>45062</v>
      </c>
      <c r="C204" t="s">
        <v>231</v>
      </c>
      <c r="D204" t="s">
        <v>12</v>
      </c>
      <c r="E204">
        <v>56</v>
      </c>
      <c r="F204" t="s">
        <v>17</v>
      </c>
      <c r="G204">
        <v>2</v>
      </c>
      <c r="H204">
        <v>500</v>
      </c>
      <c r="I204">
        <v>1000</v>
      </c>
      <c r="J204" t="str">
        <f t="shared" si="3"/>
        <v>46-60</v>
      </c>
      <c r="M204" s="6" t="s">
        <v>125</v>
      </c>
      <c r="N204">
        <v>1000</v>
      </c>
      <c r="V204" s="6">
        <v>187</v>
      </c>
      <c r="W204">
        <v>100</v>
      </c>
      <c r="Y204" s="6">
        <v>202</v>
      </c>
      <c r="Z204">
        <v>1200</v>
      </c>
      <c r="AB204" s="6">
        <v>188</v>
      </c>
      <c r="AC204">
        <v>3</v>
      </c>
    </row>
    <row r="205" spans="1:29" x14ac:dyDescent="0.25">
      <c r="A205">
        <v>204</v>
      </c>
      <c r="B205" s="1">
        <v>45197</v>
      </c>
      <c r="C205" t="s">
        <v>232</v>
      </c>
      <c r="D205" t="s">
        <v>12</v>
      </c>
      <c r="E205">
        <v>39</v>
      </c>
      <c r="F205" t="s">
        <v>13</v>
      </c>
      <c r="G205">
        <v>1</v>
      </c>
      <c r="H205">
        <v>25</v>
      </c>
      <c r="I205">
        <v>25</v>
      </c>
      <c r="J205" t="str">
        <f t="shared" si="3"/>
        <v>36-45</v>
      </c>
      <c r="M205" s="6" t="s">
        <v>978</v>
      </c>
      <c r="N205">
        <v>900</v>
      </c>
      <c r="V205" s="6">
        <v>188</v>
      </c>
      <c r="W205">
        <v>75</v>
      </c>
      <c r="Y205" s="6">
        <v>203</v>
      </c>
      <c r="Z205">
        <v>1000</v>
      </c>
      <c r="AB205" s="6">
        <v>189</v>
      </c>
      <c r="AC205">
        <v>1</v>
      </c>
    </row>
    <row r="206" spans="1:29" x14ac:dyDescent="0.25">
      <c r="A206">
        <v>205</v>
      </c>
      <c r="B206" s="1">
        <v>45237</v>
      </c>
      <c r="C206" t="s">
        <v>233</v>
      </c>
      <c r="D206" t="s">
        <v>16</v>
      </c>
      <c r="E206">
        <v>43</v>
      </c>
      <c r="F206" t="s">
        <v>17</v>
      </c>
      <c r="G206">
        <v>1</v>
      </c>
      <c r="H206">
        <v>25</v>
      </c>
      <c r="I206">
        <v>25</v>
      </c>
      <c r="J206" t="str">
        <f t="shared" si="3"/>
        <v>36-45</v>
      </c>
      <c r="M206" s="6" t="s">
        <v>951</v>
      </c>
      <c r="N206">
        <v>900</v>
      </c>
      <c r="V206" s="6">
        <v>189</v>
      </c>
      <c r="W206">
        <v>50</v>
      </c>
      <c r="Y206" s="6">
        <v>204</v>
      </c>
      <c r="Z206">
        <v>25</v>
      </c>
      <c r="AB206" s="6">
        <v>190</v>
      </c>
      <c r="AC206">
        <v>3</v>
      </c>
    </row>
    <row r="207" spans="1:29" x14ac:dyDescent="0.25">
      <c r="A207">
        <v>206</v>
      </c>
      <c r="B207" s="1">
        <v>45143</v>
      </c>
      <c r="C207" t="s">
        <v>234</v>
      </c>
      <c r="D207" t="s">
        <v>12</v>
      </c>
      <c r="E207">
        <v>61</v>
      </c>
      <c r="F207" t="s">
        <v>17</v>
      </c>
      <c r="G207">
        <v>1</v>
      </c>
      <c r="H207">
        <v>25</v>
      </c>
      <c r="I207">
        <v>25</v>
      </c>
      <c r="J207" t="b">
        <f t="shared" si="3"/>
        <v>0</v>
      </c>
      <c r="M207" s="6" t="s">
        <v>996</v>
      </c>
      <c r="N207">
        <v>900</v>
      </c>
      <c r="V207" s="6">
        <v>190</v>
      </c>
      <c r="W207">
        <v>90</v>
      </c>
      <c r="Y207" s="6">
        <v>205</v>
      </c>
      <c r="Z207">
        <v>25</v>
      </c>
      <c r="AB207" s="6">
        <v>191</v>
      </c>
      <c r="AC207">
        <v>1</v>
      </c>
    </row>
    <row r="208" spans="1:29" x14ac:dyDescent="0.25">
      <c r="A208">
        <v>207</v>
      </c>
      <c r="B208" s="1">
        <v>45035</v>
      </c>
      <c r="C208" t="s">
        <v>235</v>
      </c>
      <c r="D208" t="s">
        <v>16</v>
      </c>
      <c r="E208">
        <v>42</v>
      </c>
      <c r="F208" t="s">
        <v>13</v>
      </c>
      <c r="G208">
        <v>2</v>
      </c>
      <c r="H208">
        <v>25</v>
      </c>
      <c r="I208">
        <v>50</v>
      </c>
      <c r="J208" t="str">
        <f t="shared" si="3"/>
        <v>36-45</v>
      </c>
      <c r="M208" s="6" t="s">
        <v>750</v>
      </c>
      <c r="N208">
        <v>900</v>
      </c>
      <c r="V208" s="6">
        <v>191</v>
      </c>
      <c r="W208">
        <v>25</v>
      </c>
      <c r="Y208" s="6">
        <v>206</v>
      </c>
      <c r="Z208">
        <v>25</v>
      </c>
      <c r="AB208" s="6">
        <v>192</v>
      </c>
      <c r="AC208">
        <v>2</v>
      </c>
    </row>
    <row r="209" spans="1:29" x14ac:dyDescent="0.25">
      <c r="A209">
        <v>208</v>
      </c>
      <c r="B209" s="1">
        <v>45203</v>
      </c>
      <c r="C209" t="s">
        <v>236</v>
      </c>
      <c r="D209" t="s">
        <v>16</v>
      </c>
      <c r="E209">
        <v>34</v>
      </c>
      <c r="F209" t="s">
        <v>20</v>
      </c>
      <c r="G209">
        <v>4</v>
      </c>
      <c r="H209">
        <v>50</v>
      </c>
      <c r="I209">
        <v>200</v>
      </c>
      <c r="J209" t="str">
        <f t="shared" si="3"/>
        <v>26-35</v>
      </c>
      <c r="M209" s="6" t="s">
        <v>794</v>
      </c>
      <c r="N209">
        <v>900</v>
      </c>
      <c r="V209" s="6">
        <v>192</v>
      </c>
      <c r="W209">
        <v>100</v>
      </c>
      <c r="Y209" s="6">
        <v>207</v>
      </c>
      <c r="Z209">
        <v>50</v>
      </c>
      <c r="AB209" s="6">
        <v>193</v>
      </c>
      <c r="AC209">
        <v>3</v>
      </c>
    </row>
    <row r="210" spans="1:29" x14ac:dyDescent="0.25">
      <c r="A210">
        <v>209</v>
      </c>
      <c r="B210" s="1">
        <v>45280</v>
      </c>
      <c r="C210" t="s">
        <v>237</v>
      </c>
      <c r="D210" t="s">
        <v>16</v>
      </c>
      <c r="E210">
        <v>30</v>
      </c>
      <c r="F210" t="s">
        <v>20</v>
      </c>
      <c r="G210">
        <v>4</v>
      </c>
      <c r="H210">
        <v>50</v>
      </c>
      <c r="I210">
        <v>200</v>
      </c>
      <c r="J210" t="str">
        <f t="shared" si="3"/>
        <v>26-35</v>
      </c>
      <c r="M210" s="6" t="s">
        <v>736</v>
      </c>
      <c r="N210">
        <v>900</v>
      </c>
      <c r="V210" s="6">
        <v>193</v>
      </c>
      <c r="W210">
        <v>1500</v>
      </c>
      <c r="Y210" s="6">
        <v>208</v>
      </c>
      <c r="Z210">
        <v>200</v>
      </c>
      <c r="AB210" s="6">
        <v>194</v>
      </c>
      <c r="AC210">
        <v>4</v>
      </c>
    </row>
    <row r="211" spans="1:29" x14ac:dyDescent="0.25">
      <c r="A211">
        <v>210</v>
      </c>
      <c r="B211" s="1">
        <v>45029</v>
      </c>
      <c r="C211" t="s">
        <v>238</v>
      </c>
      <c r="D211" t="s">
        <v>12</v>
      </c>
      <c r="E211">
        <v>37</v>
      </c>
      <c r="F211" t="s">
        <v>20</v>
      </c>
      <c r="G211">
        <v>4</v>
      </c>
      <c r="H211">
        <v>50</v>
      </c>
      <c r="I211">
        <v>200</v>
      </c>
      <c r="J211" t="str">
        <f t="shared" si="3"/>
        <v>36-45</v>
      </c>
      <c r="M211" s="6" t="s">
        <v>810</v>
      </c>
      <c r="N211">
        <v>900</v>
      </c>
      <c r="V211" s="6">
        <v>194</v>
      </c>
      <c r="W211">
        <v>200</v>
      </c>
      <c r="Y211" s="6">
        <v>209</v>
      </c>
      <c r="Z211">
        <v>200</v>
      </c>
      <c r="AB211" s="6">
        <v>195</v>
      </c>
      <c r="AC211">
        <v>1</v>
      </c>
    </row>
    <row r="212" spans="1:29" x14ac:dyDescent="0.25">
      <c r="A212">
        <v>211</v>
      </c>
      <c r="B212" s="1">
        <v>45292</v>
      </c>
      <c r="C212" t="s">
        <v>239</v>
      </c>
      <c r="D212" t="s">
        <v>12</v>
      </c>
      <c r="E212">
        <v>42</v>
      </c>
      <c r="F212" t="s">
        <v>13</v>
      </c>
      <c r="G212">
        <v>3</v>
      </c>
      <c r="H212">
        <v>500</v>
      </c>
      <c r="I212">
        <v>1500</v>
      </c>
      <c r="J212" t="str">
        <f t="shared" si="3"/>
        <v>36-45</v>
      </c>
      <c r="M212" s="6" t="s">
        <v>755</v>
      </c>
      <c r="N212">
        <v>900</v>
      </c>
      <c r="V212" s="6">
        <v>195</v>
      </c>
      <c r="W212">
        <v>30</v>
      </c>
      <c r="Y212" s="6">
        <v>210</v>
      </c>
      <c r="Z212">
        <v>200</v>
      </c>
      <c r="AB212" s="6">
        <v>196</v>
      </c>
      <c r="AC212">
        <v>3</v>
      </c>
    </row>
    <row r="213" spans="1:29" x14ac:dyDescent="0.25">
      <c r="A213">
        <v>212</v>
      </c>
      <c r="B213" s="1">
        <v>45086</v>
      </c>
      <c r="C213" t="s">
        <v>240</v>
      </c>
      <c r="D213" t="s">
        <v>12</v>
      </c>
      <c r="E213">
        <v>21</v>
      </c>
      <c r="F213" t="s">
        <v>17</v>
      </c>
      <c r="G213">
        <v>3</v>
      </c>
      <c r="H213">
        <v>500</v>
      </c>
      <c r="I213">
        <v>1500</v>
      </c>
      <c r="J213" t="str">
        <f t="shared" si="3"/>
        <v>18-25</v>
      </c>
      <c r="M213" s="6" t="s">
        <v>939</v>
      </c>
      <c r="N213">
        <v>900</v>
      </c>
      <c r="V213" s="6">
        <v>196</v>
      </c>
      <c r="W213">
        <v>900</v>
      </c>
      <c r="Y213" s="6">
        <v>211</v>
      </c>
      <c r="Z213">
        <v>1500</v>
      </c>
      <c r="AB213" s="6">
        <v>197</v>
      </c>
      <c r="AC213">
        <v>4</v>
      </c>
    </row>
    <row r="214" spans="1:29" x14ac:dyDescent="0.25">
      <c r="A214">
        <v>213</v>
      </c>
      <c r="B214" s="1">
        <v>45131</v>
      </c>
      <c r="C214" t="s">
        <v>241</v>
      </c>
      <c r="D214" t="s">
        <v>12</v>
      </c>
      <c r="E214">
        <v>27</v>
      </c>
      <c r="F214" t="s">
        <v>13</v>
      </c>
      <c r="G214">
        <v>3</v>
      </c>
      <c r="H214">
        <v>500</v>
      </c>
      <c r="I214">
        <v>1500</v>
      </c>
      <c r="J214" t="str">
        <f t="shared" si="3"/>
        <v>26-35</v>
      </c>
      <c r="M214" s="6" t="s">
        <v>834</v>
      </c>
      <c r="N214">
        <v>900</v>
      </c>
      <c r="V214" s="6">
        <v>197</v>
      </c>
      <c r="W214">
        <v>200</v>
      </c>
      <c r="Y214" s="6">
        <v>212</v>
      </c>
      <c r="Z214">
        <v>1500</v>
      </c>
      <c r="AB214" s="6">
        <v>198</v>
      </c>
      <c r="AC214">
        <v>3</v>
      </c>
    </row>
    <row r="215" spans="1:29" x14ac:dyDescent="0.25">
      <c r="A215">
        <v>214</v>
      </c>
      <c r="B215" s="1">
        <v>45270</v>
      </c>
      <c r="C215" t="s">
        <v>242</v>
      </c>
      <c r="D215" t="s">
        <v>12</v>
      </c>
      <c r="E215">
        <v>20</v>
      </c>
      <c r="F215" t="s">
        <v>13</v>
      </c>
      <c r="G215">
        <v>2</v>
      </c>
      <c r="H215">
        <v>30</v>
      </c>
      <c r="I215">
        <v>60</v>
      </c>
      <c r="J215" t="str">
        <f t="shared" si="3"/>
        <v>18-25</v>
      </c>
      <c r="M215" s="6" t="s">
        <v>718</v>
      </c>
      <c r="N215">
        <v>900</v>
      </c>
      <c r="V215" s="6">
        <v>198</v>
      </c>
      <c r="W215">
        <v>900</v>
      </c>
      <c r="Y215" s="6">
        <v>213</v>
      </c>
      <c r="Z215">
        <v>1500</v>
      </c>
      <c r="AB215" s="6">
        <v>199</v>
      </c>
      <c r="AC215">
        <v>3</v>
      </c>
    </row>
    <row r="216" spans="1:29" x14ac:dyDescent="0.25">
      <c r="A216">
        <v>215</v>
      </c>
      <c r="B216" s="1">
        <v>45259</v>
      </c>
      <c r="C216" t="s">
        <v>243</v>
      </c>
      <c r="D216" t="s">
        <v>12</v>
      </c>
      <c r="E216">
        <v>58</v>
      </c>
      <c r="F216" t="s">
        <v>17</v>
      </c>
      <c r="G216">
        <v>3</v>
      </c>
      <c r="H216">
        <v>500</v>
      </c>
      <c r="I216">
        <v>1500</v>
      </c>
      <c r="J216" t="str">
        <f t="shared" si="3"/>
        <v>46-60</v>
      </c>
      <c r="M216" s="6" t="s">
        <v>706</v>
      </c>
      <c r="N216">
        <v>900</v>
      </c>
      <c r="V216" s="6">
        <v>199</v>
      </c>
      <c r="W216">
        <v>1500</v>
      </c>
      <c r="Y216" s="6">
        <v>214</v>
      </c>
      <c r="Z216">
        <v>60</v>
      </c>
      <c r="AB216" s="6">
        <v>200</v>
      </c>
      <c r="AC216">
        <v>3</v>
      </c>
    </row>
    <row r="217" spans="1:29" x14ac:dyDescent="0.25">
      <c r="A217">
        <v>216</v>
      </c>
      <c r="B217" s="1">
        <v>45118</v>
      </c>
      <c r="C217" t="s">
        <v>244</v>
      </c>
      <c r="D217" t="s">
        <v>12</v>
      </c>
      <c r="E217">
        <v>62</v>
      </c>
      <c r="F217" t="s">
        <v>20</v>
      </c>
      <c r="G217">
        <v>2</v>
      </c>
      <c r="H217">
        <v>50</v>
      </c>
      <c r="I217">
        <v>100</v>
      </c>
      <c r="J217" t="b">
        <f t="shared" si="3"/>
        <v>0</v>
      </c>
      <c r="M217" s="6" t="s">
        <v>708</v>
      </c>
      <c r="N217">
        <v>900</v>
      </c>
      <c r="V217" s="6">
        <v>200</v>
      </c>
      <c r="W217">
        <v>150</v>
      </c>
      <c r="Y217" s="6">
        <v>215</v>
      </c>
      <c r="Z217">
        <v>1500</v>
      </c>
      <c r="AB217" s="6">
        <v>201</v>
      </c>
      <c r="AC217">
        <v>1</v>
      </c>
    </row>
    <row r="218" spans="1:29" x14ac:dyDescent="0.25">
      <c r="A218">
        <v>217</v>
      </c>
      <c r="B218" s="1">
        <v>45151</v>
      </c>
      <c r="C218" t="s">
        <v>245</v>
      </c>
      <c r="D218" t="s">
        <v>16</v>
      </c>
      <c r="E218">
        <v>35</v>
      </c>
      <c r="F218" t="s">
        <v>20</v>
      </c>
      <c r="G218">
        <v>4</v>
      </c>
      <c r="H218">
        <v>50</v>
      </c>
      <c r="I218">
        <v>200</v>
      </c>
      <c r="J218" t="str">
        <f t="shared" si="3"/>
        <v>26-35</v>
      </c>
      <c r="M218" s="6" t="s">
        <v>1015</v>
      </c>
      <c r="N218">
        <v>900</v>
      </c>
      <c r="V218" s="6">
        <v>201</v>
      </c>
      <c r="W218">
        <v>25</v>
      </c>
      <c r="Y218" s="6">
        <v>216</v>
      </c>
      <c r="Z218">
        <v>100</v>
      </c>
      <c r="AB218" s="6">
        <v>202</v>
      </c>
      <c r="AC218">
        <v>4</v>
      </c>
    </row>
    <row r="219" spans="1:29" x14ac:dyDescent="0.25">
      <c r="A219">
        <v>218</v>
      </c>
      <c r="B219" s="1">
        <v>45191</v>
      </c>
      <c r="C219" t="s">
        <v>246</v>
      </c>
      <c r="D219" t="s">
        <v>12</v>
      </c>
      <c r="E219">
        <v>64</v>
      </c>
      <c r="F219" t="s">
        <v>13</v>
      </c>
      <c r="G219">
        <v>3</v>
      </c>
      <c r="H219">
        <v>30</v>
      </c>
      <c r="I219">
        <v>90</v>
      </c>
      <c r="J219" t="b">
        <f t="shared" si="3"/>
        <v>0</v>
      </c>
      <c r="M219" s="6" t="s">
        <v>982</v>
      </c>
      <c r="N219">
        <v>900</v>
      </c>
      <c r="V219" s="6">
        <v>202</v>
      </c>
      <c r="W219">
        <v>1200</v>
      </c>
      <c r="Y219" s="6">
        <v>217</v>
      </c>
      <c r="Z219">
        <v>200</v>
      </c>
      <c r="AB219" s="6">
        <v>203</v>
      </c>
      <c r="AC219">
        <v>2</v>
      </c>
    </row>
    <row r="220" spans="1:29" x14ac:dyDescent="0.25">
      <c r="A220">
        <v>219</v>
      </c>
      <c r="B220" s="1">
        <v>45158</v>
      </c>
      <c r="C220" t="s">
        <v>247</v>
      </c>
      <c r="D220" t="s">
        <v>16</v>
      </c>
      <c r="E220">
        <v>53</v>
      </c>
      <c r="F220" t="s">
        <v>20</v>
      </c>
      <c r="G220">
        <v>3</v>
      </c>
      <c r="H220">
        <v>30</v>
      </c>
      <c r="I220">
        <v>90</v>
      </c>
      <c r="J220" t="str">
        <f t="shared" si="3"/>
        <v>46-60</v>
      </c>
      <c r="M220" s="6" t="s">
        <v>914</v>
      </c>
      <c r="N220">
        <v>900</v>
      </c>
      <c r="V220" s="6">
        <v>203</v>
      </c>
      <c r="W220">
        <v>1000</v>
      </c>
      <c r="Y220" s="6">
        <v>218</v>
      </c>
      <c r="Z220">
        <v>90</v>
      </c>
      <c r="AB220" s="6">
        <v>204</v>
      </c>
      <c r="AC220">
        <v>1</v>
      </c>
    </row>
    <row r="221" spans="1:29" x14ac:dyDescent="0.25">
      <c r="A221">
        <v>220</v>
      </c>
      <c r="B221" s="1">
        <v>44988</v>
      </c>
      <c r="C221" t="s">
        <v>248</v>
      </c>
      <c r="D221" t="s">
        <v>12</v>
      </c>
      <c r="E221">
        <v>64</v>
      </c>
      <c r="F221" t="s">
        <v>13</v>
      </c>
      <c r="G221">
        <v>1</v>
      </c>
      <c r="H221">
        <v>500</v>
      </c>
      <c r="I221">
        <v>500</v>
      </c>
      <c r="J221" t="b">
        <f t="shared" si="3"/>
        <v>0</v>
      </c>
      <c r="M221" s="6" t="s">
        <v>992</v>
      </c>
      <c r="N221">
        <v>900</v>
      </c>
      <c r="V221" s="6">
        <v>204</v>
      </c>
      <c r="W221">
        <v>25</v>
      </c>
      <c r="Y221" s="6">
        <v>219</v>
      </c>
      <c r="Z221">
        <v>90</v>
      </c>
      <c r="AB221" s="6">
        <v>205</v>
      </c>
      <c r="AC221">
        <v>1</v>
      </c>
    </row>
    <row r="222" spans="1:29" x14ac:dyDescent="0.25">
      <c r="A222">
        <v>221</v>
      </c>
      <c r="B222" s="1">
        <v>45053</v>
      </c>
      <c r="C222" t="s">
        <v>249</v>
      </c>
      <c r="D222" t="s">
        <v>12</v>
      </c>
      <c r="E222">
        <v>39</v>
      </c>
      <c r="F222" t="s">
        <v>13</v>
      </c>
      <c r="G222">
        <v>2</v>
      </c>
      <c r="H222">
        <v>300</v>
      </c>
      <c r="I222">
        <v>600</v>
      </c>
      <c r="J222" t="str">
        <f t="shared" si="3"/>
        <v>36-45</v>
      </c>
      <c r="M222" s="6" t="s">
        <v>919</v>
      </c>
      <c r="N222">
        <v>900</v>
      </c>
      <c r="V222" s="6">
        <v>205</v>
      </c>
      <c r="W222">
        <v>25</v>
      </c>
      <c r="Y222" s="6">
        <v>220</v>
      </c>
      <c r="Z222">
        <v>500</v>
      </c>
      <c r="AB222" s="6">
        <v>206</v>
      </c>
      <c r="AC222">
        <v>1</v>
      </c>
    </row>
    <row r="223" spans="1:29" x14ac:dyDescent="0.25">
      <c r="A223">
        <v>222</v>
      </c>
      <c r="B223" s="1">
        <v>45042</v>
      </c>
      <c r="C223" t="s">
        <v>250</v>
      </c>
      <c r="D223" t="s">
        <v>12</v>
      </c>
      <c r="E223">
        <v>51</v>
      </c>
      <c r="F223" t="s">
        <v>17</v>
      </c>
      <c r="G223">
        <v>4</v>
      </c>
      <c r="H223">
        <v>30</v>
      </c>
      <c r="I223">
        <v>120</v>
      </c>
      <c r="J223" t="str">
        <f t="shared" si="3"/>
        <v>46-60</v>
      </c>
      <c r="M223" s="6" t="s">
        <v>997</v>
      </c>
      <c r="N223">
        <v>900</v>
      </c>
      <c r="V223" s="6">
        <v>206</v>
      </c>
      <c r="W223">
        <v>25</v>
      </c>
      <c r="Y223" s="6">
        <v>221</v>
      </c>
      <c r="Z223">
        <v>600</v>
      </c>
      <c r="AB223" s="6">
        <v>207</v>
      </c>
      <c r="AC223">
        <v>2</v>
      </c>
    </row>
    <row r="224" spans="1:29" x14ac:dyDescent="0.25">
      <c r="A224">
        <v>223</v>
      </c>
      <c r="B224" s="1">
        <v>44959</v>
      </c>
      <c r="C224" t="s">
        <v>251</v>
      </c>
      <c r="D224" t="s">
        <v>16</v>
      </c>
      <c r="E224">
        <v>64</v>
      </c>
      <c r="F224" t="s">
        <v>17</v>
      </c>
      <c r="G224">
        <v>1</v>
      </c>
      <c r="H224">
        <v>25</v>
      </c>
      <c r="I224">
        <v>25</v>
      </c>
      <c r="J224" t="b">
        <f t="shared" si="3"/>
        <v>0</v>
      </c>
      <c r="M224" s="6" t="s">
        <v>855</v>
      </c>
      <c r="N224">
        <v>900</v>
      </c>
      <c r="V224" s="6">
        <v>207</v>
      </c>
      <c r="W224">
        <v>50</v>
      </c>
      <c r="Y224" s="6">
        <v>222</v>
      </c>
      <c r="Z224">
        <v>120</v>
      </c>
      <c r="AB224" s="6">
        <v>208</v>
      </c>
      <c r="AC224">
        <v>4</v>
      </c>
    </row>
    <row r="225" spans="1:29" x14ac:dyDescent="0.25">
      <c r="A225">
        <v>224</v>
      </c>
      <c r="B225" s="1">
        <v>45100</v>
      </c>
      <c r="C225" t="s">
        <v>252</v>
      </c>
      <c r="D225" t="s">
        <v>16</v>
      </c>
      <c r="E225">
        <v>25</v>
      </c>
      <c r="F225" t="s">
        <v>17</v>
      </c>
      <c r="G225">
        <v>1</v>
      </c>
      <c r="H225">
        <v>50</v>
      </c>
      <c r="I225">
        <v>50</v>
      </c>
      <c r="J225" t="str">
        <f t="shared" si="3"/>
        <v>18-25</v>
      </c>
      <c r="M225" s="6" t="s">
        <v>816</v>
      </c>
      <c r="N225">
        <v>900</v>
      </c>
      <c r="V225" s="6">
        <v>208</v>
      </c>
      <c r="W225">
        <v>200</v>
      </c>
      <c r="Y225" s="6">
        <v>223</v>
      </c>
      <c r="Z225">
        <v>25</v>
      </c>
      <c r="AB225" s="6">
        <v>209</v>
      </c>
      <c r="AC225">
        <v>4</v>
      </c>
    </row>
    <row r="226" spans="1:29" x14ac:dyDescent="0.25">
      <c r="A226">
        <v>225</v>
      </c>
      <c r="B226" s="1">
        <v>44937</v>
      </c>
      <c r="C226" t="s">
        <v>253</v>
      </c>
      <c r="D226" t="s">
        <v>16</v>
      </c>
      <c r="E226">
        <v>57</v>
      </c>
      <c r="F226" t="s">
        <v>13</v>
      </c>
      <c r="G226">
        <v>4</v>
      </c>
      <c r="H226">
        <v>25</v>
      </c>
      <c r="I226">
        <v>100</v>
      </c>
      <c r="J226" t="str">
        <f t="shared" si="3"/>
        <v>46-60</v>
      </c>
      <c r="M226" s="6" t="s">
        <v>652</v>
      </c>
      <c r="N226">
        <v>900</v>
      </c>
      <c r="V226" s="6">
        <v>209</v>
      </c>
      <c r="W226">
        <v>200</v>
      </c>
      <c r="Y226" s="6">
        <v>224</v>
      </c>
      <c r="Z226">
        <v>50</v>
      </c>
      <c r="AB226" s="6">
        <v>210</v>
      </c>
      <c r="AC226">
        <v>4</v>
      </c>
    </row>
    <row r="227" spans="1:29" x14ac:dyDescent="0.25">
      <c r="A227">
        <v>226</v>
      </c>
      <c r="B227" s="1">
        <v>45228</v>
      </c>
      <c r="C227" t="s">
        <v>254</v>
      </c>
      <c r="D227" t="s">
        <v>16</v>
      </c>
      <c r="E227">
        <v>61</v>
      </c>
      <c r="F227" t="s">
        <v>17</v>
      </c>
      <c r="G227">
        <v>1</v>
      </c>
      <c r="H227">
        <v>50</v>
      </c>
      <c r="I227">
        <v>50</v>
      </c>
      <c r="J227" t="b">
        <f t="shared" si="3"/>
        <v>0</v>
      </c>
      <c r="M227" s="6" t="s">
        <v>362</v>
      </c>
      <c r="N227">
        <v>900</v>
      </c>
      <c r="V227" s="6">
        <v>210</v>
      </c>
      <c r="W227">
        <v>200</v>
      </c>
      <c r="Y227" s="6">
        <v>225</v>
      </c>
      <c r="Z227">
        <v>100</v>
      </c>
      <c r="AB227" s="6">
        <v>211</v>
      </c>
      <c r="AC227">
        <v>3</v>
      </c>
    </row>
    <row r="228" spans="1:29" x14ac:dyDescent="0.25">
      <c r="A228">
        <v>227</v>
      </c>
      <c r="B228" s="1">
        <v>45210</v>
      </c>
      <c r="C228" t="s">
        <v>255</v>
      </c>
      <c r="D228" t="s">
        <v>12</v>
      </c>
      <c r="E228">
        <v>36</v>
      </c>
      <c r="F228" t="s">
        <v>20</v>
      </c>
      <c r="G228">
        <v>2</v>
      </c>
      <c r="H228">
        <v>50</v>
      </c>
      <c r="I228">
        <v>100</v>
      </c>
      <c r="J228" t="str">
        <f t="shared" si="3"/>
        <v>36-45</v>
      </c>
      <c r="M228" s="6" t="s">
        <v>519</v>
      </c>
      <c r="N228">
        <v>900</v>
      </c>
      <c r="V228" s="6">
        <v>211</v>
      </c>
      <c r="W228">
        <v>1500</v>
      </c>
      <c r="Y228" s="6">
        <v>226</v>
      </c>
      <c r="Z228">
        <v>50</v>
      </c>
      <c r="AB228" s="6">
        <v>212</v>
      </c>
      <c r="AC228">
        <v>3</v>
      </c>
    </row>
    <row r="229" spans="1:29" x14ac:dyDescent="0.25">
      <c r="A229">
        <v>228</v>
      </c>
      <c r="B229" s="1">
        <v>45044</v>
      </c>
      <c r="C229" t="s">
        <v>256</v>
      </c>
      <c r="D229" t="s">
        <v>16</v>
      </c>
      <c r="E229">
        <v>59</v>
      </c>
      <c r="F229" t="s">
        <v>20</v>
      </c>
      <c r="G229">
        <v>2</v>
      </c>
      <c r="H229">
        <v>30</v>
      </c>
      <c r="I229">
        <v>60</v>
      </c>
      <c r="J229" t="str">
        <f t="shared" si="3"/>
        <v>46-60</v>
      </c>
      <c r="M229" s="6" t="s">
        <v>578</v>
      </c>
      <c r="N229">
        <v>900</v>
      </c>
      <c r="V229" s="6">
        <v>212</v>
      </c>
      <c r="W229">
        <v>1500</v>
      </c>
      <c r="Y229" s="6">
        <v>227</v>
      </c>
      <c r="Z229">
        <v>100</v>
      </c>
      <c r="AB229" s="6">
        <v>213</v>
      </c>
      <c r="AC229">
        <v>3</v>
      </c>
    </row>
    <row r="230" spans="1:29" x14ac:dyDescent="0.25">
      <c r="A230">
        <v>229</v>
      </c>
      <c r="B230" s="1">
        <v>45228</v>
      </c>
      <c r="C230" t="s">
        <v>257</v>
      </c>
      <c r="D230" t="s">
        <v>12</v>
      </c>
      <c r="E230">
        <v>58</v>
      </c>
      <c r="F230" t="s">
        <v>13</v>
      </c>
      <c r="G230">
        <v>3</v>
      </c>
      <c r="H230">
        <v>30</v>
      </c>
      <c r="I230">
        <v>90</v>
      </c>
      <c r="J230" t="str">
        <f t="shared" si="3"/>
        <v>46-60</v>
      </c>
      <c r="M230" s="6" t="s">
        <v>537</v>
      </c>
      <c r="N230">
        <v>900</v>
      </c>
      <c r="V230" s="6">
        <v>213</v>
      </c>
      <c r="W230">
        <v>1500</v>
      </c>
      <c r="Y230" s="6">
        <v>228</v>
      </c>
      <c r="Z230">
        <v>60</v>
      </c>
      <c r="AB230" s="6">
        <v>214</v>
      </c>
      <c r="AC230">
        <v>2</v>
      </c>
    </row>
    <row r="231" spans="1:29" x14ac:dyDescent="0.25">
      <c r="A231">
        <v>230</v>
      </c>
      <c r="B231" s="1">
        <v>45039</v>
      </c>
      <c r="C231" t="s">
        <v>258</v>
      </c>
      <c r="D231" t="s">
        <v>12</v>
      </c>
      <c r="E231">
        <v>54</v>
      </c>
      <c r="F231" t="s">
        <v>13</v>
      </c>
      <c r="G231">
        <v>1</v>
      </c>
      <c r="H231">
        <v>25</v>
      </c>
      <c r="I231">
        <v>25</v>
      </c>
      <c r="J231" t="str">
        <f t="shared" si="3"/>
        <v>46-60</v>
      </c>
      <c r="M231" s="6" t="s">
        <v>437</v>
      </c>
      <c r="N231">
        <v>900</v>
      </c>
      <c r="V231" s="6">
        <v>214</v>
      </c>
      <c r="W231">
        <v>60</v>
      </c>
      <c r="Y231" s="6">
        <v>229</v>
      </c>
      <c r="Z231">
        <v>90</v>
      </c>
      <c r="AB231" s="6">
        <v>215</v>
      </c>
      <c r="AC231">
        <v>3</v>
      </c>
    </row>
    <row r="232" spans="1:29" x14ac:dyDescent="0.25">
      <c r="A232">
        <v>231</v>
      </c>
      <c r="B232" s="1">
        <v>44930</v>
      </c>
      <c r="C232" t="s">
        <v>259</v>
      </c>
      <c r="D232" t="s">
        <v>16</v>
      </c>
      <c r="E232">
        <v>23</v>
      </c>
      <c r="F232" t="s">
        <v>17</v>
      </c>
      <c r="G232">
        <v>3</v>
      </c>
      <c r="H232">
        <v>50</v>
      </c>
      <c r="I232">
        <v>150</v>
      </c>
      <c r="J232" t="str">
        <f t="shared" si="3"/>
        <v>18-25</v>
      </c>
      <c r="M232" s="6" t="s">
        <v>485</v>
      </c>
      <c r="N232">
        <v>900</v>
      </c>
      <c r="V232" s="6">
        <v>215</v>
      </c>
      <c r="W232">
        <v>1500</v>
      </c>
      <c r="Y232" s="6">
        <v>230</v>
      </c>
      <c r="Z232">
        <v>25</v>
      </c>
      <c r="AB232" s="6">
        <v>216</v>
      </c>
      <c r="AC232">
        <v>2</v>
      </c>
    </row>
    <row r="233" spans="1:29" x14ac:dyDescent="0.25">
      <c r="A233">
        <v>232</v>
      </c>
      <c r="B233" s="1">
        <v>44963</v>
      </c>
      <c r="C233" t="s">
        <v>260</v>
      </c>
      <c r="D233" t="s">
        <v>16</v>
      </c>
      <c r="E233">
        <v>43</v>
      </c>
      <c r="F233" t="s">
        <v>13</v>
      </c>
      <c r="G233">
        <v>1</v>
      </c>
      <c r="H233">
        <v>25</v>
      </c>
      <c r="I233">
        <v>25</v>
      </c>
      <c r="J233" t="str">
        <f t="shared" si="3"/>
        <v>36-45</v>
      </c>
      <c r="M233" s="6" t="s">
        <v>500</v>
      </c>
      <c r="N233">
        <v>900</v>
      </c>
      <c r="V233" s="6">
        <v>216</v>
      </c>
      <c r="W233">
        <v>100</v>
      </c>
      <c r="Y233" s="6">
        <v>231</v>
      </c>
      <c r="Z233">
        <v>150</v>
      </c>
      <c r="AB233" s="6">
        <v>217</v>
      </c>
      <c r="AC233">
        <v>4</v>
      </c>
    </row>
    <row r="234" spans="1:29" x14ac:dyDescent="0.25">
      <c r="A234">
        <v>233</v>
      </c>
      <c r="B234" s="1">
        <v>45289</v>
      </c>
      <c r="C234" t="s">
        <v>261</v>
      </c>
      <c r="D234" t="s">
        <v>16</v>
      </c>
      <c r="E234">
        <v>51</v>
      </c>
      <c r="F234" t="s">
        <v>13</v>
      </c>
      <c r="G234">
        <v>2</v>
      </c>
      <c r="H234">
        <v>300</v>
      </c>
      <c r="I234">
        <v>600</v>
      </c>
      <c r="J234" t="str">
        <f t="shared" si="3"/>
        <v>46-60</v>
      </c>
      <c r="M234" s="6" t="s">
        <v>618</v>
      </c>
      <c r="N234">
        <v>900</v>
      </c>
      <c r="V234" s="6">
        <v>217</v>
      </c>
      <c r="W234">
        <v>200</v>
      </c>
      <c r="Y234" s="6">
        <v>232</v>
      </c>
      <c r="Z234">
        <v>25</v>
      </c>
      <c r="AB234" s="6">
        <v>218</v>
      </c>
      <c r="AC234">
        <v>3</v>
      </c>
    </row>
    <row r="235" spans="1:29" x14ac:dyDescent="0.25">
      <c r="A235">
        <v>234</v>
      </c>
      <c r="B235" s="1">
        <v>45250</v>
      </c>
      <c r="C235" t="s">
        <v>262</v>
      </c>
      <c r="D235" t="s">
        <v>16</v>
      </c>
      <c r="E235">
        <v>62</v>
      </c>
      <c r="F235" t="s">
        <v>20</v>
      </c>
      <c r="G235">
        <v>2</v>
      </c>
      <c r="H235">
        <v>25</v>
      </c>
      <c r="I235">
        <v>50</v>
      </c>
      <c r="J235" t="b">
        <f t="shared" si="3"/>
        <v>0</v>
      </c>
      <c r="M235" s="6" t="s">
        <v>463</v>
      </c>
      <c r="N235">
        <v>900</v>
      </c>
      <c r="V235" s="6">
        <v>218</v>
      </c>
      <c r="W235">
        <v>90</v>
      </c>
      <c r="Y235" s="6">
        <v>233</v>
      </c>
      <c r="Z235">
        <v>600</v>
      </c>
      <c r="AB235" s="6">
        <v>219</v>
      </c>
      <c r="AC235">
        <v>3</v>
      </c>
    </row>
    <row r="236" spans="1:29" x14ac:dyDescent="0.25">
      <c r="A236">
        <v>235</v>
      </c>
      <c r="B236" s="1">
        <v>44957</v>
      </c>
      <c r="C236" t="s">
        <v>263</v>
      </c>
      <c r="D236" t="s">
        <v>16</v>
      </c>
      <c r="E236">
        <v>23</v>
      </c>
      <c r="F236" t="s">
        <v>20</v>
      </c>
      <c r="G236">
        <v>2</v>
      </c>
      <c r="H236">
        <v>500</v>
      </c>
      <c r="I236">
        <v>1000</v>
      </c>
      <c r="J236" t="str">
        <f t="shared" si="3"/>
        <v>18-25</v>
      </c>
      <c r="M236" s="6" t="s">
        <v>445</v>
      </c>
      <c r="N236">
        <v>900</v>
      </c>
      <c r="V236" s="6">
        <v>219</v>
      </c>
      <c r="W236">
        <v>90</v>
      </c>
      <c r="Y236" s="6">
        <v>234</v>
      </c>
      <c r="Z236">
        <v>50</v>
      </c>
      <c r="AB236" s="6">
        <v>220</v>
      </c>
      <c r="AC236">
        <v>1</v>
      </c>
    </row>
    <row r="237" spans="1:29" x14ac:dyDescent="0.25">
      <c r="A237">
        <v>236</v>
      </c>
      <c r="B237" s="1">
        <v>45044</v>
      </c>
      <c r="C237" t="s">
        <v>264</v>
      </c>
      <c r="D237" t="s">
        <v>16</v>
      </c>
      <c r="E237">
        <v>54</v>
      </c>
      <c r="F237" t="s">
        <v>17</v>
      </c>
      <c r="G237">
        <v>1</v>
      </c>
      <c r="H237">
        <v>25</v>
      </c>
      <c r="I237">
        <v>25</v>
      </c>
      <c r="J237" t="str">
        <f t="shared" si="3"/>
        <v>46-60</v>
      </c>
      <c r="M237" s="6" t="s">
        <v>516</v>
      </c>
      <c r="N237">
        <v>900</v>
      </c>
      <c r="V237" s="6">
        <v>220</v>
      </c>
      <c r="W237">
        <v>500</v>
      </c>
      <c r="Y237" s="6">
        <v>235</v>
      </c>
      <c r="Z237">
        <v>1000</v>
      </c>
      <c r="AB237" s="6">
        <v>221</v>
      </c>
      <c r="AC237">
        <v>2</v>
      </c>
    </row>
    <row r="238" spans="1:29" x14ac:dyDescent="0.25">
      <c r="A238">
        <v>237</v>
      </c>
      <c r="B238" s="1">
        <v>44961</v>
      </c>
      <c r="C238" t="s">
        <v>265</v>
      </c>
      <c r="D238" t="s">
        <v>16</v>
      </c>
      <c r="E238">
        <v>50</v>
      </c>
      <c r="F238" t="s">
        <v>13</v>
      </c>
      <c r="G238">
        <v>2</v>
      </c>
      <c r="H238">
        <v>500</v>
      </c>
      <c r="I238">
        <v>1000</v>
      </c>
      <c r="J238" t="str">
        <f t="shared" si="3"/>
        <v>46-60</v>
      </c>
      <c r="M238" s="6" t="s">
        <v>543</v>
      </c>
      <c r="N238">
        <v>900</v>
      </c>
      <c r="V238" s="6">
        <v>221</v>
      </c>
      <c r="W238">
        <v>600</v>
      </c>
      <c r="Y238" s="6">
        <v>236</v>
      </c>
      <c r="Z238">
        <v>25</v>
      </c>
      <c r="AB238" s="6">
        <v>222</v>
      </c>
      <c r="AC238">
        <v>4</v>
      </c>
    </row>
    <row r="239" spans="1:29" x14ac:dyDescent="0.25">
      <c r="A239">
        <v>238</v>
      </c>
      <c r="B239" s="1">
        <v>44943</v>
      </c>
      <c r="C239" t="s">
        <v>266</v>
      </c>
      <c r="D239" t="s">
        <v>16</v>
      </c>
      <c r="E239">
        <v>39</v>
      </c>
      <c r="F239" t="s">
        <v>13</v>
      </c>
      <c r="G239">
        <v>1</v>
      </c>
      <c r="H239">
        <v>500</v>
      </c>
      <c r="I239">
        <v>500</v>
      </c>
      <c r="J239" t="str">
        <f t="shared" si="3"/>
        <v>36-45</v>
      </c>
      <c r="M239" s="6" t="s">
        <v>595</v>
      </c>
      <c r="N239">
        <v>900</v>
      </c>
      <c r="V239" s="6">
        <v>222</v>
      </c>
      <c r="W239">
        <v>120</v>
      </c>
      <c r="Y239" s="6">
        <v>237</v>
      </c>
      <c r="Z239">
        <v>1000</v>
      </c>
      <c r="AB239" s="6">
        <v>223</v>
      </c>
      <c r="AC239">
        <v>1</v>
      </c>
    </row>
    <row r="240" spans="1:29" x14ac:dyDescent="0.25">
      <c r="A240">
        <v>239</v>
      </c>
      <c r="B240" s="1">
        <v>45096</v>
      </c>
      <c r="C240" t="s">
        <v>267</v>
      </c>
      <c r="D240" t="s">
        <v>12</v>
      </c>
      <c r="E240">
        <v>38</v>
      </c>
      <c r="F240" t="s">
        <v>20</v>
      </c>
      <c r="G240">
        <v>3</v>
      </c>
      <c r="H240">
        <v>500</v>
      </c>
      <c r="I240">
        <v>1500</v>
      </c>
      <c r="J240" t="str">
        <f t="shared" si="3"/>
        <v>36-45</v>
      </c>
      <c r="M240" s="6" t="s">
        <v>663</v>
      </c>
      <c r="N240">
        <v>900</v>
      </c>
      <c r="V240" s="6">
        <v>223</v>
      </c>
      <c r="W240">
        <v>25</v>
      </c>
      <c r="Y240" s="6">
        <v>238</v>
      </c>
      <c r="Z240">
        <v>500</v>
      </c>
      <c r="AB240" s="6">
        <v>224</v>
      </c>
      <c r="AC240">
        <v>1</v>
      </c>
    </row>
    <row r="241" spans="1:29" x14ac:dyDescent="0.25">
      <c r="A241">
        <v>240</v>
      </c>
      <c r="B241" s="1">
        <v>44963</v>
      </c>
      <c r="C241" t="s">
        <v>268</v>
      </c>
      <c r="D241" t="s">
        <v>16</v>
      </c>
      <c r="E241">
        <v>23</v>
      </c>
      <c r="F241" t="s">
        <v>13</v>
      </c>
      <c r="G241">
        <v>1</v>
      </c>
      <c r="H241">
        <v>300</v>
      </c>
      <c r="I241">
        <v>300</v>
      </c>
      <c r="J241" t="str">
        <f t="shared" si="3"/>
        <v>18-25</v>
      </c>
      <c r="M241" s="6" t="s">
        <v>610</v>
      </c>
      <c r="N241">
        <v>900</v>
      </c>
      <c r="V241" s="6">
        <v>224</v>
      </c>
      <c r="W241">
        <v>50</v>
      </c>
      <c r="Y241" s="6">
        <v>239</v>
      </c>
      <c r="Z241">
        <v>1500</v>
      </c>
      <c r="AB241" s="6">
        <v>225</v>
      </c>
      <c r="AC241">
        <v>4</v>
      </c>
    </row>
    <row r="242" spans="1:29" x14ac:dyDescent="0.25">
      <c r="A242">
        <v>241</v>
      </c>
      <c r="B242" s="1">
        <v>45190</v>
      </c>
      <c r="C242" t="s">
        <v>269</v>
      </c>
      <c r="D242" t="s">
        <v>16</v>
      </c>
      <c r="E242">
        <v>23</v>
      </c>
      <c r="F242" t="s">
        <v>20</v>
      </c>
      <c r="G242">
        <v>3</v>
      </c>
      <c r="H242">
        <v>25</v>
      </c>
      <c r="I242">
        <v>75</v>
      </c>
      <c r="J242" t="str">
        <f t="shared" si="3"/>
        <v>18-25</v>
      </c>
      <c r="M242" s="6" t="s">
        <v>458</v>
      </c>
      <c r="N242">
        <v>900</v>
      </c>
      <c r="V242" s="6">
        <v>225</v>
      </c>
      <c r="W242">
        <v>100</v>
      </c>
      <c r="Y242" s="6">
        <v>240</v>
      </c>
      <c r="Z242">
        <v>300</v>
      </c>
      <c r="AB242" s="6">
        <v>226</v>
      </c>
      <c r="AC242">
        <v>1</v>
      </c>
    </row>
    <row r="243" spans="1:29" x14ac:dyDescent="0.25">
      <c r="A243">
        <v>242</v>
      </c>
      <c r="B243" s="1">
        <v>45048</v>
      </c>
      <c r="C243" t="s">
        <v>270</v>
      </c>
      <c r="D243" t="s">
        <v>12</v>
      </c>
      <c r="E243">
        <v>21</v>
      </c>
      <c r="F243" t="s">
        <v>17</v>
      </c>
      <c r="G243">
        <v>1</v>
      </c>
      <c r="H243">
        <v>25</v>
      </c>
      <c r="I243">
        <v>25</v>
      </c>
      <c r="J243" t="str">
        <f t="shared" si="3"/>
        <v>18-25</v>
      </c>
      <c r="M243" s="6" t="s">
        <v>435</v>
      </c>
      <c r="N243">
        <v>900</v>
      </c>
      <c r="V243" s="6">
        <v>226</v>
      </c>
      <c r="W243">
        <v>50</v>
      </c>
      <c r="Y243" s="6">
        <v>241</v>
      </c>
      <c r="Z243">
        <v>75</v>
      </c>
      <c r="AB243" s="6">
        <v>227</v>
      </c>
      <c r="AC243">
        <v>2</v>
      </c>
    </row>
    <row r="244" spans="1:29" x14ac:dyDescent="0.25">
      <c r="A244">
        <v>243</v>
      </c>
      <c r="B244" s="1">
        <v>45069</v>
      </c>
      <c r="C244" t="s">
        <v>271</v>
      </c>
      <c r="D244" t="s">
        <v>16</v>
      </c>
      <c r="E244">
        <v>47</v>
      </c>
      <c r="F244" t="s">
        <v>20</v>
      </c>
      <c r="G244">
        <v>3</v>
      </c>
      <c r="H244">
        <v>300</v>
      </c>
      <c r="I244">
        <v>900</v>
      </c>
      <c r="J244" t="str">
        <f t="shared" si="3"/>
        <v>46-60</v>
      </c>
      <c r="M244" s="6" t="s">
        <v>568</v>
      </c>
      <c r="N244">
        <v>900</v>
      </c>
      <c r="V244" s="6">
        <v>227</v>
      </c>
      <c r="W244">
        <v>100</v>
      </c>
      <c r="Y244" s="6">
        <v>242</v>
      </c>
      <c r="Z244">
        <v>25</v>
      </c>
      <c r="AB244" s="6">
        <v>228</v>
      </c>
      <c r="AC244">
        <v>2</v>
      </c>
    </row>
    <row r="245" spans="1:29" x14ac:dyDescent="0.25">
      <c r="A245">
        <v>244</v>
      </c>
      <c r="B245" s="1">
        <v>45269</v>
      </c>
      <c r="C245" t="s">
        <v>272</v>
      </c>
      <c r="D245" t="s">
        <v>12</v>
      </c>
      <c r="E245">
        <v>28</v>
      </c>
      <c r="F245" t="s">
        <v>13</v>
      </c>
      <c r="G245">
        <v>2</v>
      </c>
      <c r="H245">
        <v>50</v>
      </c>
      <c r="I245">
        <v>100</v>
      </c>
      <c r="J245" t="str">
        <f t="shared" si="3"/>
        <v>26-35</v>
      </c>
      <c r="M245" s="6" t="s">
        <v>579</v>
      </c>
      <c r="N245">
        <v>900</v>
      </c>
      <c r="V245" s="6">
        <v>228</v>
      </c>
      <c r="W245">
        <v>60</v>
      </c>
      <c r="Y245" s="6">
        <v>243</v>
      </c>
      <c r="Z245">
        <v>900</v>
      </c>
      <c r="AB245" s="6">
        <v>229</v>
      </c>
      <c r="AC245">
        <v>3</v>
      </c>
    </row>
    <row r="246" spans="1:29" x14ac:dyDescent="0.25">
      <c r="A246">
        <v>245</v>
      </c>
      <c r="B246" s="1">
        <v>45175</v>
      </c>
      <c r="C246" t="s">
        <v>273</v>
      </c>
      <c r="D246" t="s">
        <v>12</v>
      </c>
      <c r="E246">
        <v>47</v>
      </c>
      <c r="F246" t="s">
        <v>17</v>
      </c>
      <c r="G246">
        <v>3</v>
      </c>
      <c r="H246">
        <v>30</v>
      </c>
      <c r="I246">
        <v>90</v>
      </c>
      <c r="J246" t="str">
        <f t="shared" si="3"/>
        <v>46-60</v>
      </c>
      <c r="M246" s="6" t="s">
        <v>271</v>
      </c>
      <c r="N246">
        <v>900</v>
      </c>
      <c r="V246" s="6">
        <v>229</v>
      </c>
      <c r="W246">
        <v>90</v>
      </c>
      <c r="Y246" s="6">
        <v>244</v>
      </c>
      <c r="Z246">
        <v>100</v>
      </c>
      <c r="AB246" s="6">
        <v>230</v>
      </c>
      <c r="AC246">
        <v>1</v>
      </c>
    </row>
    <row r="247" spans="1:29" x14ac:dyDescent="0.25">
      <c r="A247">
        <v>246</v>
      </c>
      <c r="B247" s="1">
        <v>45036</v>
      </c>
      <c r="C247" t="s">
        <v>274</v>
      </c>
      <c r="D247" t="s">
        <v>16</v>
      </c>
      <c r="E247">
        <v>48</v>
      </c>
      <c r="F247" t="s">
        <v>20</v>
      </c>
      <c r="G247">
        <v>2</v>
      </c>
      <c r="H247">
        <v>25</v>
      </c>
      <c r="I247">
        <v>50</v>
      </c>
      <c r="J247" t="str">
        <f t="shared" si="3"/>
        <v>46-60</v>
      </c>
      <c r="M247" s="6" t="s">
        <v>224</v>
      </c>
      <c r="N247">
        <v>900</v>
      </c>
      <c r="V247" s="6">
        <v>230</v>
      </c>
      <c r="W247">
        <v>25</v>
      </c>
      <c r="Y247" s="6">
        <v>245</v>
      </c>
      <c r="Z247">
        <v>90</v>
      </c>
      <c r="AB247" s="6">
        <v>231</v>
      </c>
      <c r="AC247">
        <v>3</v>
      </c>
    </row>
    <row r="248" spans="1:29" x14ac:dyDescent="0.25">
      <c r="A248">
        <v>247</v>
      </c>
      <c r="B248" s="1">
        <v>45203</v>
      </c>
      <c r="C248" t="s">
        <v>275</v>
      </c>
      <c r="D248" t="s">
        <v>12</v>
      </c>
      <c r="E248">
        <v>41</v>
      </c>
      <c r="F248" t="s">
        <v>20</v>
      </c>
      <c r="G248">
        <v>2</v>
      </c>
      <c r="H248">
        <v>30</v>
      </c>
      <c r="I248">
        <v>60</v>
      </c>
      <c r="J248" t="str">
        <f t="shared" si="3"/>
        <v>36-45</v>
      </c>
      <c r="M248" s="6" t="s">
        <v>293</v>
      </c>
      <c r="N248">
        <v>900</v>
      </c>
      <c r="V248" s="6">
        <v>231</v>
      </c>
      <c r="W248">
        <v>150</v>
      </c>
      <c r="Y248" s="6">
        <v>246</v>
      </c>
      <c r="Z248">
        <v>50</v>
      </c>
      <c r="AB248" s="6">
        <v>232</v>
      </c>
      <c r="AC248">
        <v>1</v>
      </c>
    </row>
    <row r="249" spans="1:29" x14ac:dyDescent="0.25">
      <c r="A249">
        <v>248</v>
      </c>
      <c r="B249" s="1">
        <v>44994</v>
      </c>
      <c r="C249" t="s">
        <v>276</v>
      </c>
      <c r="D249" t="s">
        <v>12</v>
      </c>
      <c r="E249">
        <v>26</v>
      </c>
      <c r="F249" t="s">
        <v>17</v>
      </c>
      <c r="G249">
        <v>3</v>
      </c>
      <c r="H249">
        <v>300</v>
      </c>
      <c r="I249">
        <v>900</v>
      </c>
      <c r="J249" t="str">
        <f t="shared" si="3"/>
        <v>26-35</v>
      </c>
      <c r="M249" s="6" t="s">
        <v>161</v>
      </c>
      <c r="N249">
        <v>900</v>
      </c>
      <c r="V249" s="6">
        <v>232</v>
      </c>
      <c r="W249">
        <v>25</v>
      </c>
      <c r="Y249" s="6">
        <v>247</v>
      </c>
      <c r="Z249">
        <v>60</v>
      </c>
      <c r="AB249" s="6">
        <v>233</v>
      </c>
      <c r="AC249">
        <v>2</v>
      </c>
    </row>
    <row r="250" spans="1:29" x14ac:dyDescent="0.25">
      <c r="A250">
        <v>249</v>
      </c>
      <c r="B250" s="1">
        <v>45219</v>
      </c>
      <c r="C250" t="s">
        <v>277</v>
      </c>
      <c r="D250" t="s">
        <v>12</v>
      </c>
      <c r="E250">
        <v>20</v>
      </c>
      <c r="F250" t="s">
        <v>17</v>
      </c>
      <c r="G250">
        <v>1</v>
      </c>
      <c r="H250">
        <v>50</v>
      </c>
      <c r="I250">
        <v>50</v>
      </c>
      <c r="J250" t="str">
        <f t="shared" si="3"/>
        <v>18-25</v>
      </c>
      <c r="M250" s="6" t="s">
        <v>58</v>
      </c>
      <c r="N250">
        <v>900</v>
      </c>
      <c r="V250" s="6">
        <v>233</v>
      </c>
      <c r="W250">
        <v>600</v>
      </c>
      <c r="Y250" s="6">
        <v>248</v>
      </c>
      <c r="Z250">
        <v>900</v>
      </c>
      <c r="AB250" s="6">
        <v>234</v>
      </c>
      <c r="AC250">
        <v>2</v>
      </c>
    </row>
    <row r="251" spans="1:29" x14ac:dyDescent="0.25">
      <c r="A251">
        <v>250</v>
      </c>
      <c r="B251" s="1">
        <v>45222</v>
      </c>
      <c r="C251" t="s">
        <v>278</v>
      </c>
      <c r="D251" t="s">
        <v>12</v>
      </c>
      <c r="E251">
        <v>48</v>
      </c>
      <c r="F251" t="s">
        <v>20</v>
      </c>
      <c r="G251">
        <v>1</v>
      </c>
      <c r="H251">
        <v>50</v>
      </c>
      <c r="I251">
        <v>50</v>
      </c>
      <c r="J251" t="str">
        <f t="shared" si="3"/>
        <v>46-60</v>
      </c>
      <c r="M251" s="6" t="s">
        <v>182</v>
      </c>
      <c r="N251">
        <v>900</v>
      </c>
      <c r="V251" s="6">
        <v>234</v>
      </c>
      <c r="W251">
        <v>50</v>
      </c>
      <c r="Y251" s="6">
        <v>249</v>
      </c>
      <c r="Z251">
        <v>50</v>
      </c>
      <c r="AB251" s="6">
        <v>235</v>
      </c>
      <c r="AC251">
        <v>2</v>
      </c>
    </row>
    <row r="252" spans="1:29" x14ac:dyDescent="0.25">
      <c r="A252">
        <v>251</v>
      </c>
      <c r="B252" s="1">
        <v>45169</v>
      </c>
      <c r="C252" t="s">
        <v>279</v>
      </c>
      <c r="D252" t="s">
        <v>16</v>
      </c>
      <c r="E252">
        <v>57</v>
      </c>
      <c r="F252" t="s">
        <v>13</v>
      </c>
      <c r="G252">
        <v>4</v>
      </c>
      <c r="H252">
        <v>50</v>
      </c>
      <c r="I252">
        <v>200</v>
      </c>
      <c r="J252" t="str">
        <f t="shared" si="3"/>
        <v>46-60</v>
      </c>
      <c r="M252" s="6" t="s">
        <v>45</v>
      </c>
      <c r="N252">
        <v>900</v>
      </c>
      <c r="V252" s="6">
        <v>235</v>
      </c>
      <c r="W252">
        <v>1000</v>
      </c>
      <c r="Y252" s="6">
        <v>250</v>
      </c>
      <c r="Z252">
        <v>50</v>
      </c>
      <c r="AB252" s="6">
        <v>236</v>
      </c>
      <c r="AC252">
        <v>1</v>
      </c>
    </row>
    <row r="253" spans="1:29" x14ac:dyDescent="0.25">
      <c r="A253">
        <v>252</v>
      </c>
      <c r="B253" s="1">
        <v>45051</v>
      </c>
      <c r="C253" t="s">
        <v>280</v>
      </c>
      <c r="D253" t="s">
        <v>12</v>
      </c>
      <c r="E253">
        <v>54</v>
      </c>
      <c r="F253" t="s">
        <v>20</v>
      </c>
      <c r="G253">
        <v>1</v>
      </c>
      <c r="H253">
        <v>300</v>
      </c>
      <c r="I253">
        <v>300</v>
      </c>
      <c r="J253" t="str">
        <f t="shared" si="3"/>
        <v>46-60</v>
      </c>
      <c r="M253" s="6" t="s">
        <v>63</v>
      </c>
      <c r="N253">
        <v>900</v>
      </c>
      <c r="V253" s="6">
        <v>236</v>
      </c>
      <c r="W253">
        <v>25</v>
      </c>
      <c r="Y253" s="6">
        <v>251</v>
      </c>
      <c r="Z253">
        <v>200</v>
      </c>
      <c r="AB253" s="6">
        <v>237</v>
      </c>
      <c r="AC253">
        <v>2</v>
      </c>
    </row>
    <row r="254" spans="1:29" x14ac:dyDescent="0.25">
      <c r="A254">
        <v>253</v>
      </c>
      <c r="B254" s="1">
        <v>45169</v>
      </c>
      <c r="C254" t="s">
        <v>281</v>
      </c>
      <c r="D254" t="s">
        <v>16</v>
      </c>
      <c r="E254">
        <v>53</v>
      </c>
      <c r="F254" t="s">
        <v>17</v>
      </c>
      <c r="G254">
        <v>4</v>
      </c>
      <c r="H254">
        <v>500</v>
      </c>
      <c r="I254">
        <v>2000</v>
      </c>
      <c r="J254" t="str">
        <f t="shared" si="3"/>
        <v>46-60</v>
      </c>
      <c r="M254" s="6" t="s">
        <v>211</v>
      </c>
      <c r="N254">
        <v>900</v>
      </c>
      <c r="V254" s="6">
        <v>237</v>
      </c>
      <c r="W254">
        <v>1000</v>
      </c>
      <c r="Y254" s="6">
        <v>252</v>
      </c>
      <c r="Z254">
        <v>300</v>
      </c>
      <c r="AB254" s="6">
        <v>238</v>
      </c>
      <c r="AC254">
        <v>1</v>
      </c>
    </row>
    <row r="255" spans="1:29" x14ac:dyDescent="0.25">
      <c r="A255">
        <v>254</v>
      </c>
      <c r="B255" s="1">
        <v>45135</v>
      </c>
      <c r="C255" t="s">
        <v>282</v>
      </c>
      <c r="D255" t="s">
        <v>12</v>
      </c>
      <c r="E255">
        <v>41</v>
      </c>
      <c r="F255" t="s">
        <v>20</v>
      </c>
      <c r="G255">
        <v>1</v>
      </c>
      <c r="H255">
        <v>500</v>
      </c>
      <c r="I255">
        <v>500</v>
      </c>
      <c r="J255" t="str">
        <f t="shared" si="3"/>
        <v>36-45</v>
      </c>
      <c r="M255" s="6" t="s">
        <v>76</v>
      </c>
      <c r="N255">
        <v>900</v>
      </c>
      <c r="V255" s="6">
        <v>238</v>
      </c>
      <c r="W255">
        <v>500</v>
      </c>
      <c r="Y255" s="6">
        <v>253</v>
      </c>
      <c r="Z255">
        <v>2000</v>
      </c>
      <c r="AB255" s="6">
        <v>239</v>
      </c>
      <c r="AC255">
        <v>3</v>
      </c>
    </row>
    <row r="256" spans="1:29" x14ac:dyDescent="0.25">
      <c r="A256">
        <v>255</v>
      </c>
      <c r="B256" s="1">
        <v>45024</v>
      </c>
      <c r="C256" t="s">
        <v>283</v>
      </c>
      <c r="D256" t="s">
        <v>12</v>
      </c>
      <c r="E256">
        <v>48</v>
      </c>
      <c r="F256" t="s">
        <v>17</v>
      </c>
      <c r="G256">
        <v>1</v>
      </c>
      <c r="H256">
        <v>30</v>
      </c>
      <c r="I256">
        <v>30</v>
      </c>
      <c r="J256" t="str">
        <f t="shared" si="3"/>
        <v>46-60</v>
      </c>
      <c r="M256" s="6" t="s">
        <v>226</v>
      </c>
      <c r="N256">
        <v>900</v>
      </c>
      <c r="V256" s="6">
        <v>239</v>
      </c>
      <c r="W256">
        <v>1500</v>
      </c>
      <c r="Y256" s="6">
        <v>254</v>
      </c>
      <c r="Z256">
        <v>500</v>
      </c>
      <c r="AB256" s="6">
        <v>240</v>
      </c>
      <c r="AC256">
        <v>1</v>
      </c>
    </row>
    <row r="257" spans="1:29" x14ac:dyDescent="0.25">
      <c r="A257">
        <v>256</v>
      </c>
      <c r="B257" s="1">
        <v>44975</v>
      </c>
      <c r="C257" t="s">
        <v>284</v>
      </c>
      <c r="D257" t="s">
        <v>12</v>
      </c>
      <c r="E257">
        <v>23</v>
      </c>
      <c r="F257" t="s">
        <v>17</v>
      </c>
      <c r="G257">
        <v>2</v>
      </c>
      <c r="H257">
        <v>500</v>
      </c>
      <c r="I257">
        <v>1000</v>
      </c>
      <c r="J257" t="str">
        <f t="shared" si="3"/>
        <v>18-25</v>
      </c>
      <c r="M257" s="6" t="s">
        <v>138</v>
      </c>
      <c r="N257">
        <v>900</v>
      </c>
      <c r="V257" s="6">
        <v>240</v>
      </c>
      <c r="W257">
        <v>300</v>
      </c>
      <c r="Y257" s="6">
        <v>255</v>
      </c>
      <c r="Z257">
        <v>30</v>
      </c>
      <c r="AB257" s="6">
        <v>241</v>
      </c>
      <c r="AC257">
        <v>3</v>
      </c>
    </row>
    <row r="258" spans="1:29" x14ac:dyDescent="0.25">
      <c r="A258">
        <v>257</v>
      </c>
      <c r="B258" s="1">
        <v>44976</v>
      </c>
      <c r="C258" t="s">
        <v>285</v>
      </c>
      <c r="D258" t="s">
        <v>12</v>
      </c>
      <c r="E258">
        <v>19</v>
      </c>
      <c r="F258" t="s">
        <v>13</v>
      </c>
      <c r="G258">
        <v>4</v>
      </c>
      <c r="H258">
        <v>500</v>
      </c>
      <c r="I258">
        <v>2000</v>
      </c>
      <c r="J258" t="str">
        <f t="shared" si="3"/>
        <v>18-25</v>
      </c>
      <c r="M258" s="6" t="s">
        <v>351</v>
      </c>
      <c r="N258">
        <v>900</v>
      </c>
      <c r="V258" s="6">
        <v>241</v>
      </c>
      <c r="W258">
        <v>75</v>
      </c>
      <c r="Y258" s="6">
        <v>256</v>
      </c>
      <c r="Z258">
        <v>1000</v>
      </c>
      <c r="AB258" s="6">
        <v>242</v>
      </c>
      <c r="AC258">
        <v>1</v>
      </c>
    </row>
    <row r="259" spans="1:29" x14ac:dyDescent="0.25">
      <c r="A259">
        <v>258</v>
      </c>
      <c r="B259" s="1">
        <v>45264</v>
      </c>
      <c r="C259" t="s">
        <v>286</v>
      </c>
      <c r="D259" t="s">
        <v>16</v>
      </c>
      <c r="E259">
        <v>37</v>
      </c>
      <c r="F259" t="s">
        <v>17</v>
      </c>
      <c r="G259">
        <v>1</v>
      </c>
      <c r="H259">
        <v>50</v>
      </c>
      <c r="I259">
        <v>50</v>
      </c>
      <c r="J259" t="str">
        <f t="shared" ref="J259:J322" si="4">IF(AND(E259&gt;=18,E259&lt;=25),"18-25",IF(AND(E259&gt;=26,E259&lt;=35),"26-35",IF(AND(E259&gt;=36,E259&lt;=45),"36-45",IF(AND(E259&gt;=46,E259&lt;=60),"46-60"))))</f>
        <v>36-45</v>
      </c>
      <c r="M259" s="6" t="s">
        <v>64</v>
      </c>
      <c r="N259">
        <v>900</v>
      </c>
      <c r="V259" s="6">
        <v>242</v>
      </c>
      <c r="W259">
        <v>25</v>
      </c>
      <c r="Y259" s="6">
        <v>257</v>
      </c>
      <c r="Z259">
        <v>2000</v>
      </c>
      <c r="AB259" s="6">
        <v>243</v>
      </c>
      <c r="AC259">
        <v>3</v>
      </c>
    </row>
    <row r="260" spans="1:29" x14ac:dyDescent="0.25">
      <c r="A260">
        <v>259</v>
      </c>
      <c r="B260" s="1">
        <v>45147</v>
      </c>
      <c r="C260" t="s">
        <v>287</v>
      </c>
      <c r="D260" t="s">
        <v>16</v>
      </c>
      <c r="E260">
        <v>45</v>
      </c>
      <c r="F260" t="s">
        <v>17</v>
      </c>
      <c r="G260">
        <v>4</v>
      </c>
      <c r="H260">
        <v>50</v>
      </c>
      <c r="I260">
        <v>200</v>
      </c>
      <c r="J260" t="str">
        <f t="shared" si="4"/>
        <v>36-45</v>
      </c>
      <c r="M260" s="6" t="s">
        <v>276</v>
      </c>
      <c r="N260">
        <v>900</v>
      </c>
      <c r="V260" s="6">
        <v>243</v>
      </c>
      <c r="W260">
        <v>900</v>
      </c>
      <c r="Y260" s="6">
        <v>258</v>
      </c>
      <c r="Z260">
        <v>50</v>
      </c>
      <c r="AB260" s="6">
        <v>244</v>
      </c>
      <c r="AC260">
        <v>2</v>
      </c>
    </row>
    <row r="261" spans="1:29" x14ac:dyDescent="0.25">
      <c r="A261">
        <v>260</v>
      </c>
      <c r="B261" s="1">
        <v>45108</v>
      </c>
      <c r="C261" t="s">
        <v>288</v>
      </c>
      <c r="D261" t="s">
        <v>12</v>
      </c>
      <c r="E261">
        <v>28</v>
      </c>
      <c r="F261" t="s">
        <v>13</v>
      </c>
      <c r="G261">
        <v>2</v>
      </c>
      <c r="H261">
        <v>30</v>
      </c>
      <c r="I261">
        <v>60</v>
      </c>
      <c r="J261" t="str">
        <f t="shared" si="4"/>
        <v>26-35</v>
      </c>
      <c r="M261" s="6" t="s">
        <v>199</v>
      </c>
      <c r="N261">
        <v>900</v>
      </c>
      <c r="V261" s="6">
        <v>244</v>
      </c>
      <c r="W261">
        <v>100</v>
      </c>
      <c r="Y261" s="6">
        <v>259</v>
      </c>
      <c r="Z261">
        <v>200</v>
      </c>
      <c r="AB261" s="6">
        <v>245</v>
      </c>
      <c r="AC261">
        <v>3</v>
      </c>
    </row>
    <row r="262" spans="1:29" x14ac:dyDescent="0.25">
      <c r="A262">
        <v>261</v>
      </c>
      <c r="B262" s="1">
        <v>45143</v>
      </c>
      <c r="C262" t="s">
        <v>289</v>
      </c>
      <c r="D262" t="s">
        <v>12</v>
      </c>
      <c r="E262">
        <v>21</v>
      </c>
      <c r="F262" t="s">
        <v>17</v>
      </c>
      <c r="G262">
        <v>2</v>
      </c>
      <c r="H262">
        <v>25</v>
      </c>
      <c r="I262">
        <v>50</v>
      </c>
      <c r="J262" t="str">
        <f t="shared" si="4"/>
        <v>18-25</v>
      </c>
      <c r="M262" s="6" t="s">
        <v>292</v>
      </c>
      <c r="N262">
        <v>900</v>
      </c>
      <c r="V262" s="6">
        <v>245</v>
      </c>
      <c r="W262">
        <v>90</v>
      </c>
      <c r="Y262" s="6">
        <v>260</v>
      </c>
      <c r="Z262">
        <v>60</v>
      </c>
      <c r="AB262" s="6">
        <v>246</v>
      </c>
      <c r="AC262">
        <v>2</v>
      </c>
    </row>
    <row r="263" spans="1:29" x14ac:dyDescent="0.25">
      <c r="A263">
        <v>262</v>
      </c>
      <c r="B263" s="1">
        <v>45137</v>
      </c>
      <c r="C263" t="s">
        <v>290</v>
      </c>
      <c r="D263" t="s">
        <v>16</v>
      </c>
      <c r="E263">
        <v>32</v>
      </c>
      <c r="F263" t="s">
        <v>13</v>
      </c>
      <c r="G263">
        <v>4</v>
      </c>
      <c r="H263">
        <v>30</v>
      </c>
      <c r="I263">
        <v>120</v>
      </c>
      <c r="J263" t="str">
        <f t="shared" si="4"/>
        <v>26-35</v>
      </c>
      <c r="M263" s="6" t="s">
        <v>208</v>
      </c>
      <c r="N263">
        <v>900</v>
      </c>
      <c r="V263" s="6">
        <v>246</v>
      </c>
      <c r="W263">
        <v>50</v>
      </c>
      <c r="Y263" s="6">
        <v>261</v>
      </c>
      <c r="Z263">
        <v>50</v>
      </c>
      <c r="AB263" s="6">
        <v>247</v>
      </c>
      <c r="AC263">
        <v>2</v>
      </c>
    </row>
    <row r="264" spans="1:29" x14ac:dyDescent="0.25">
      <c r="A264">
        <v>263</v>
      </c>
      <c r="B264" s="1">
        <v>45166</v>
      </c>
      <c r="C264" t="s">
        <v>291</v>
      </c>
      <c r="D264" t="s">
        <v>12</v>
      </c>
      <c r="E264">
        <v>23</v>
      </c>
      <c r="F264" t="s">
        <v>13</v>
      </c>
      <c r="G264">
        <v>2</v>
      </c>
      <c r="H264">
        <v>30</v>
      </c>
      <c r="I264">
        <v>60</v>
      </c>
      <c r="J264" t="str">
        <f t="shared" si="4"/>
        <v>18-25</v>
      </c>
      <c r="M264" s="6" t="s">
        <v>323</v>
      </c>
      <c r="N264">
        <v>900</v>
      </c>
      <c r="V264" s="6">
        <v>247</v>
      </c>
      <c r="W264">
        <v>60</v>
      </c>
      <c r="Y264" s="6">
        <v>262</v>
      </c>
      <c r="Z264">
        <v>120</v>
      </c>
      <c r="AB264" s="6">
        <v>248</v>
      </c>
      <c r="AC264">
        <v>3</v>
      </c>
    </row>
    <row r="265" spans="1:29" x14ac:dyDescent="0.25">
      <c r="A265">
        <v>264</v>
      </c>
      <c r="B265" s="1">
        <v>44954</v>
      </c>
      <c r="C265" t="s">
        <v>292</v>
      </c>
      <c r="D265" t="s">
        <v>12</v>
      </c>
      <c r="E265">
        <v>47</v>
      </c>
      <c r="F265" t="s">
        <v>17</v>
      </c>
      <c r="G265">
        <v>3</v>
      </c>
      <c r="H265">
        <v>300</v>
      </c>
      <c r="I265">
        <v>900</v>
      </c>
      <c r="J265" t="str">
        <f t="shared" si="4"/>
        <v>46-60</v>
      </c>
      <c r="M265" s="6" t="s">
        <v>84</v>
      </c>
      <c r="N265">
        <v>900</v>
      </c>
      <c r="V265" s="6">
        <v>248</v>
      </c>
      <c r="W265">
        <v>900</v>
      </c>
      <c r="Y265" s="6">
        <v>263</v>
      </c>
      <c r="Z265">
        <v>60</v>
      </c>
      <c r="AB265" s="6">
        <v>249</v>
      </c>
      <c r="AC265">
        <v>1</v>
      </c>
    </row>
    <row r="266" spans="1:29" x14ac:dyDescent="0.25">
      <c r="A266">
        <v>265</v>
      </c>
      <c r="B266" s="1">
        <v>45271</v>
      </c>
      <c r="C266" t="s">
        <v>293</v>
      </c>
      <c r="D266" t="s">
        <v>12</v>
      </c>
      <c r="E266">
        <v>55</v>
      </c>
      <c r="F266" t="s">
        <v>17</v>
      </c>
      <c r="G266">
        <v>3</v>
      </c>
      <c r="H266">
        <v>300</v>
      </c>
      <c r="I266">
        <v>900</v>
      </c>
      <c r="J266" t="str">
        <f t="shared" si="4"/>
        <v>46-60</v>
      </c>
      <c r="M266" s="6" t="s">
        <v>70</v>
      </c>
      <c r="N266">
        <v>900</v>
      </c>
      <c r="V266" s="6">
        <v>249</v>
      </c>
      <c r="W266">
        <v>50</v>
      </c>
      <c r="Y266" s="6">
        <v>264</v>
      </c>
      <c r="Z266">
        <v>900</v>
      </c>
      <c r="AB266" s="6">
        <v>250</v>
      </c>
      <c r="AC266">
        <v>1</v>
      </c>
    </row>
    <row r="267" spans="1:29" x14ac:dyDescent="0.25">
      <c r="A267">
        <v>266</v>
      </c>
      <c r="B267" s="1">
        <v>45261</v>
      </c>
      <c r="C267" t="s">
        <v>294</v>
      </c>
      <c r="D267" t="s">
        <v>16</v>
      </c>
      <c r="E267">
        <v>19</v>
      </c>
      <c r="F267" t="s">
        <v>20</v>
      </c>
      <c r="G267">
        <v>2</v>
      </c>
      <c r="H267">
        <v>30</v>
      </c>
      <c r="I267">
        <v>60</v>
      </c>
      <c r="J267" t="str">
        <f t="shared" si="4"/>
        <v>18-25</v>
      </c>
      <c r="M267" s="6" t="s">
        <v>1004</v>
      </c>
      <c r="N267">
        <v>600</v>
      </c>
      <c r="V267" s="6">
        <v>250</v>
      </c>
      <c r="W267">
        <v>50</v>
      </c>
      <c r="Y267" s="6">
        <v>265</v>
      </c>
      <c r="Z267">
        <v>900</v>
      </c>
      <c r="AB267" s="6">
        <v>251</v>
      </c>
      <c r="AC267">
        <v>4</v>
      </c>
    </row>
    <row r="268" spans="1:29" x14ac:dyDescent="0.25">
      <c r="A268">
        <v>267</v>
      </c>
      <c r="B268" s="1">
        <v>45257</v>
      </c>
      <c r="C268" t="s">
        <v>295</v>
      </c>
      <c r="D268" t="s">
        <v>16</v>
      </c>
      <c r="E268">
        <v>32</v>
      </c>
      <c r="F268" t="s">
        <v>13</v>
      </c>
      <c r="G268">
        <v>3</v>
      </c>
      <c r="H268">
        <v>30</v>
      </c>
      <c r="I268">
        <v>90</v>
      </c>
      <c r="J268" t="str">
        <f t="shared" si="4"/>
        <v>26-35</v>
      </c>
      <c r="M268" s="6" t="s">
        <v>866</v>
      </c>
      <c r="N268">
        <v>600</v>
      </c>
      <c r="V268" s="6">
        <v>251</v>
      </c>
      <c r="W268">
        <v>200</v>
      </c>
      <c r="Y268" s="6">
        <v>266</v>
      </c>
      <c r="Z268">
        <v>60</v>
      </c>
      <c r="AB268" s="6">
        <v>252</v>
      </c>
      <c r="AC268">
        <v>1</v>
      </c>
    </row>
    <row r="269" spans="1:29" x14ac:dyDescent="0.25">
      <c r="A269">
        <v>268</v>
      </c>
      <c r="B269" s="1">
        <v>44977</v>
      </c>
      <c r="C269" t="s">
        <v>296</v>
      </c>
      <c r="D269" t="s">
        <v>16</v>
      </c>
      <c r="E269">
        <v>28</v>
      </c>
      <c r="F269" t="s">
        <v>20</v>
      </c>
      <c r="G269">
        <v>1</v>
      </c>
      <c r="H269">
        <v>30</v>
      </c>
      <c r="I269">
        <v>30</v>
      </c>
      <c r="J269" t="str">
        <f t="shared" si="4"/>
        <v>26-35</v>
      </c>
      <c r="M269" s="6" t="s">
        <v>870</v>
      </c>
      <c r="N269">
        <v>600</v>
      </c>
      <c r="V269" s="6">
        <v>252</v>
      </c>
      <c r="W269">
        <v>300</v>
      </c>
      <c r="Y269" s="6">
        <v>267</v>
      </c>
      <c r="Z269">
        <v>90</v>
      </c>
      <c r="AB269" s="6">
        <v>253</v>
      </c>
      <c r="AC269">
        <v>4</v>
      </c>
    </row>
    <row r="270" spans="1:29" x14ac:dyDescent="0.25">
      <c r="A270">
        <v>269</v>
      </c>
      <c r="B270" s="1">
        <v>44958</v>
      </c>
      <c r="C270" t="s">
        <v>297</v>
      </c>
      <c r="D270" t="s">
        <v>12</v>
      </c>
      <c r="E270">
        <v>25</v>
      </c>
      <c r="F270" t="s">
        <v>17</v>
      </c>
      <c r="G270">
        <v>4</v>
      </c>
      <c r="H270">
        <v>500</v>
      </c>
      <c r="I270">
        <v>2000</v>
      </c>
      <c r="J270" t="str">
        <f t="shared" si="4"/>
        <v>18-25</v>
      </c>
      <c r="M270" s="6" t="s">
        <v>730</v>
      </c>
      <c r="N270">
        <v>600</v>
      </c>
      <c r="V270" s="6">
        <v>253</v>
      </c>
      <c r="W270">
        <v>2000</v>
      </c>
      <c r="Y270" s="6">
        <v>268</v>
      </c>
      <c r="Z270">
        <v>30</v>
      </c>
      <c r="AB270" s="6">
        <v>254</v>
      </c>
      <c r="AC270">
        <v>1</v>
      </c>
    </row>
    <row r="271" spans="1:29" x14ac:dyDescent="0.25">
      <c r="A271">
        <v>270</v>
      </c>
      <c r="B271" s="1">
        <v>45133</v>
      </c>
      <c r="C271" t="s">
        <v>298</v>
      </c>
      <c r="D271" t="s">
        <v>12</v>
      </c>
      <c r="E271">
        <v>43</v>
      </c>
      <c r="F271" t="s">
        <v>20</v>
      </c>
      <c r="G271">
        <v>1</v>
      </c>
      <c r="H271">
        <v>300</v>
      </c>
      <c r="I271">
        <v>300</v>
      </c>
      <c r="J271" t="str">
        <f t="shared" si="4"/>
        <v>36-45</v>
      </c>
      <c r="M271" s="6" t="s">
        <v>927</v>
      </c>
      <c r="N271">
        <v>600</v>
      </c>
      <c r="V271" s="6">
        <v>254</v>
      </c>
      <c r="W271">
        <v>500</v>
      </c>
      <c r="Y271" s="6">
        <v>269</v>
      </c>
      <c r="Z271">
        <v>2000</v>
      </c>
      <c r="AB271" s="6">
        <v>255</v>
      </c>
      <c r="AC271">
        <v>1</v>
      </c>
    </row>
    <row r="272" spans="1:29" x14ac:dyDescent="0.25">
      <c r="A272">
        <v>271</v>
      </c>
      <c r="B272" s="1">
        <v>45100</v>
      </c>
      <c r="C272" t="s">
        <v>299</v>
      </c>
      <c r="D272" t="s">
        <v>16</v>
      </c>
      <c r="E272">
        <v>62</v>
      </c>
      <c r="F272" t="s">
        <v>13</v>
      </c>
      <c r="G272">
        <v>4</v>
      </c>
      <c r="H272">
        <v>30</v>
      </c>
      <c r="I272">
        <v>120</v>
      </c>
      <c r="J272" t="b">
        <f t="shared" si="4"/>
        <v>0</v>
      </c>
      <c r="M272" s="6" t="s">
        <v>426</v>
      </c>
      <c r="N272">
        <v>600</v>
      </c>
      <c r="V272" s="6">
        <v>255</v>
      </c>
      <c r="W272">
        <v>30</v>
      </c>
      <c r="Y272" s="6">
        <v>270</v>
      </c>
      <c r="Z272">
        <v>300</v>
      </c>
      <c r="AB272" s="6">
        <v>256</v>
      </c>
      <c r="AC272">
        <v>2</v>
      </c>
    </row>
    <row r="273" spans="1:29" x14ac:dyDescent="0.25">
      <c r="A273">
        <v>272</v>
      </c>
      <c r="B273" s="1">
        <v>44982</v>
      </c>
      <c r="C273" t="s">
        <v>300</v>
      </c>
      <c r="D273" t="s">
        <v>16</v>
      </c>
      <c r="E273">
        <v>61</v>
      </c>
      <c r="F273" t="s">
        <v>20</v>
      </c>
      <c r="G273">
        <v>2</v>
      </c>
      <c r="H273">
        <v>50</v>
      </c>
      <c r="I273">
        <v>100</v>
      </c>
      <c r="J273" t="b">
        <f t="shared" si="4"/>
        <v>0</v>
      </c>
      <c r="M273" s="6" t="s">
        <v>468</v>
      </c>
      <c r="N273">
        <v>600</v>
      </c>
      <c r="V273" s="6">
        <v>256</v>
      </c>
      <c r="W273">
        <v>1000</v>
      </c>
      <c r="Y273" s="6">
        <v>271</v>
      </c>
      <c r="Z273">
        <v>120</v>
      </c>
      <c r="AB273" s="6">
        <v>257</v>
      </c>
      <c r="AC273">
        <v>4</v>
      </c>
    </row>
    <row r="274" spans="1:29" x14ac:dyDescent="0.25">
      <c r="A274">
        <v>273</v>
      </c>
      <c r="B274" s="1">
        <v>45054</v>
      </c>
      <c r="C274" t="s">
        <v>301</v>
      </c>
      <c r="D274" t="s">
        <v>16</v>
      </c>
      <c r="E274">
        <v>22</v>
      </c>
      <c r="F274" t="s">
        <v>13</v>
      </c>
      <c r="G274">
        <v>1</v>
      </c>
      <c r="H274">
        <v>50</v>
      </c>
      <c r="I274">
        <v>50</v>
      </c>
      <c r="J274" t="str">
        <f t="shared" si="4"/>
        <v>18-25</v>
      </c>
      <c r="M274" s="6" t="s">
        <v>622</v>
      </c>
      <c r="N274">
        <v>600</v>
      </c>
      <c r="V274" s="6">
        <v>257</v>
      </c>
      <c r="W274">
        <v>2000</v>
      </c>
      <c r="Y274" s="6">
        <v>272</v>
      </c>
      <c r="Z274">
        <v>100</v>
      </c>
      <c r="AB274" s="6">
        <v>258</v>
      </c>
      <c r="AC274">
        <v>1</v>
      </c>
    </row>
    <row r="275" spans="1:29" x14ac:dyDescent="0.25">
      <c r="A275">
        <v>274</v>
      </c>
      <c r="B275" s="1">
        <v>45025</v>
      </c>
      <c r="C275" t="s">
        <v>302</v>
      </c>
      <c r="D275" t="s">
        <v>16</v>
      </c>
      <c r="E275">
        <v>23</v>
      </c>
      <c r="F275" t="s">
        <v>17</v>
      </c>
      <c r="G275">
        <v>2</v>
      </c>
      <c r="H275">
        <v>500</v>
      </c>
      <c r="I275">
        <v>1000</v>
      </c>
      <c r="J275" t="str">
        <f t="shared" si="4"/>
        <v>18-25</v>
      </c>
      <c r="M275" s="6" t="s">
        <v>376</v>
      </c>
      <c r="N275">
        <v>600</v>
      </c>
      <c r="V275" s="6">
        <v>258</v>
      </c>
      <c r="W275">
        <v>50</v>
      </c>
      <c r="Y275" s="6">
        <v>273</v>
      </c>
      <c r="Z275">
        <v>50</v>
      </c>
      <c r="AB275" s="6">
        <v>259</v>
      </c>
      <c r="AC275">
        <v>4</v>
      </c>
    </row>
    <row r="276" spans="1:29" x14ac:dyDescent="0.25">
      <c r="A276">
        <v>275</v>
      </c>
      <c r="B276" s="1">
        <v>45024</v>
      </c>
      <c r="C276" t="s">
        <v>303</v>
      </c>
      <c r="D276" t="s">
        <v>12</v>
      </c>
      <c r="E276">
        <v>43</v>
      </c>
      <c r="F276" t="s">
        <v>17</v>
      </c>
      <c r="G276">
        <v>2</v>
      </c>
      <c r="H276">
        <v>500</v>
      </c>
      <c r="I276">
        <v>1000</v>
      </c>
      <c r="J276" t="str">
        <f t="shared" si="4"/>
        <v>36-45</v>
      </c>
      <c r="M276" s="6" t="s">
        <v>408</v>
      </c>
      <c r="N276">
        <v>600</v>
      </c>
      <c r="V276" s="6">
        <v>259</v>
      </c>
      <c r="W276">
        <v>200</v>
      </c>
      <c r="Y276" s="6">
        <v>274</v>
      </c>
      <c r="Z276">
        <v>1000</v>
      </c>
      <c r="AB276" s="6">
        <v>260</v>
      </c>
      <c r="AC276">
        <v>2</v>
      </c>
    </row>
    <row r="277" spans="1:29" x14ac:dyDescent="0.25">
      <c r="A277">
        <v>276</v>
      </c>
      <c r="B277" s="1">
        <v>45201</v>
      </c>
      <c r="C277" t="s">
        <v>304</v>
      </c>
      <c r="D277" t="s">
        <v>16</v>
      </c>
      <c r="E277">
        <v>21</v>
      </c>
      <c r="F277" t="s">
        <v>13</v>
      </c>
      <c r="G277">
        <v>4</v>
      </c>
      <c r="H277">
        <v>25</v>
      </c>
      <c r="I277">
        <v>100</v>
      </c>
      <c r="J277" t="str">
        <f t="shared" si="4"/>
        <v>18-25</v>
      </c>
      <c r="M277" s="6" t="s">
        <v>524</v>
      </c>
      <c r="N277">
        <v>600</v>
      </c>
      <c r="V277" s="6">
        <v>260</v>
      </c>
      <c r="W277">
        <v>60</v>
      </c>
      <c r="Y277" s="6">
        <v>275</v>
      </c>
      <c r="Z277">
        <v>1000</v>
      </c>
      <c r="AB277" s="6">
        <v>261</v>
      </c>
      <c r="AC277">
        <v>2</v>
      </c>
    </row>
    <row r="278" spans="1:29" x14ac:dyDescent="0.25">
      <c r="A278">
        <v>277</v>
      </c>
      <c r="B278" s="1">
        <v>45156</v>
      </c>
      <c r="C278" t="s">
        <v>305</v>
      </c>
      <c r="D278" t="s">
        <v>12</v>
      </c>
      <c r="E278">
        <v>36</v>
      </c>
      <c r="F278" t="s">
        <v>17</v>
      </c>
      <c r="G278">
        <v>4</v>
      </c>
      <c r="H278">
        <v>25</v>
      </c>
      <c r="I278">
        <v>100</v>
      </c>
      <c r="J278" t="str">
        <f t="shared" si="4"/>
        <v>36-45</v>
      </c>
      <c r="M278" s="6" t="s">
        <v>677</v>
      </c>
      <c r="N278">
        <v>600</v>
      </c>
      <c r="V278" s="6">
        <v>261</v>
      </c>
      <c r="W278">
        <v>50</v>
      </c>
      <c r="Y278" s="6">
        <v>276</v>
      </c>
      <c r="Z278">
        <v>100</v>
      </c>
      <c r="AB278" s="6">
        <v>262</v>
      </c>
      <c r="AC278">
        <v>4</v>
      </c>
    </row>
    <row r="279" spans="1:29" x14ac:dyDescent="0.25">
      <c r="A279">
        <v>278</v>
      </c>
      <c r="B279" s="1">
        <v>44998</v>
      </c>
      <c r="C279" t="s">
        <v>306</v>
      </c>
      <c r="D279" t="s">
        <v>16</v>
      </c>
      <c r="E279">
        <v>37</v>
      </c>
      <c r="F279" t="s">
        <v>17</v>
      </c>
      <c r="G279">
        <v>4</v>
      </c>
      <c r="H279">
        <v>25</v>
      </c>
      <c r="I279">
        <v>100</v>
      </c>
      <c r="J279" t="str">
        <f t="shared" si="4"/>
        <v>36-45</v>
      </c>
      <c r="M279" s="6" t="s">
        <v>431</v>
      </c>
      <c r="N279">
        <v>600</v>
      </c>
      <c r="V279" s="6">
        <v>262</v>
      </c>
      <c r="W279">
        <v>120</v>
      </c>
      <c r="Y279" s="6">
        <v>277</v>
      </c>
      <c r="Z279">
        <v>100</v>
      </c>
      <c r="AB279" s="6">
        <v>263</v>
      </c>
      <c r="AC279">
        <v>2</v>
      </c>
    </row>
    <row r="280" spans="1:29" x14ac:dyDescent="0.25">
      <c r="A280">
        <v>279</v>
      </c>
      <c r="B280" s="1">
        <v>45143</v>
      </c>
      <c r="C280" t="s">
        <v>307</v>
      </c>
      <c r="D280" t="s">
        <v>12</v>
      </c>
      <c r="E280">
        <v>50</v>
      </c>
      <c r="F280" t="s">
        <v>17</v>
      </c>
      <c r="G280">
        <v>1</v>
      </c>
      <c r="H280">
        <v>500</v>
      </c>
      <c r="I280">
        <v>500</v>
      </c>
      <c r="J280" t="str">
        <f t="shared" si="4"/>
        <v>46-60</v>
      </c>
      <c r="M280" s="6" t="s">
        <v>420</v>
      </c>
      <c r="N280">
        <v>600</v>
      </c>
      <c r="V280" s="6">
        <v>263</v>
      </c>
      <c r="W280">
        <v>60</v>
      </c>
      <c r="Y280" s="6">
        <v>278</v>
      </c>
      <c r="Z280">
        <v>100</v>
      </c>
      <c r="AB280" s="6">
        <v>264</v>
      </c>
      <c r="AC280">
        <v>3</v>
      </c>
    </row>
    <row r="281" spans="1:29" x14ac:dyDescent="0.25">
      <c r="A281">
        <v>280</v>
      </c>
      <c r="B281" s="1">
        <v>45020</v>
      </c>
      <c r="C281" t="s">
        <v>308</v>
      </c>
      <c r="D281" t="s">
        <v>16</v>
      </c>
      <c r="E281">
        <v>37</v>
      </c>
      <c r="F281" t="s">
        <v>17</v>
      </c>
      <c r="G281">
        <v>3</v>
      </c>
      <c r="H281">
        <v>500</v>
      </c>
      <c r="I281">
        <v>1500</v>
      </c>
      <c r="J281" t="str">
        <f t="shared" si="4"/>
        <v>36-45</v>
      </c>
      <c r="M281" s="6" t="s">
        <v>430</v>
      </c>
      <c r="N281">
        <v>600</v>
      </c>
      <c r="V281" s="6">
        <v>264</v>
      </c>
      <c r="W281">
        <v>900</v>
      </c>
      <c r="Y281" s="6">
        <v>279</v>
      </c>
      <c r="Z281">
        <v>500</v>
      </c>
      <c r="AB281" s="6">
        <v>265</v>
      </c>
      <c r="AC281">
        <v>3</v>
      </c>
    </row>
    <row r="282" spans="1:29" x14ac:dyDescent="0.25">
      <c r="A282">
        <v>281</v>
      </c>
      <c r="B282" s="1">
        <v>45069</v>
      </c>
      <c r="C282" t="s">
        <v>309</v>
      </c>
      <c r="D282" t="s">
        <v>16</v>
      </c>
      <c r="E282">
        <v>29</v>
      </c>
      <c r="F282" t="s">
        <v>13</v>
      </c>
      <c r="G282">
        <v>4</v>
      </c>
      <c r="H282">
        <v>500</v>
      </c>
      <c r="I282">
        <v>2000</v>
      </c>
      <c r="J282" t="str">
        <f t="shared" si="4"/>
        <v>26-35</v>
      </c>
      <c r="M282" s="6" t="s">
        <v>638</v>
      </c>
      <c r="N282">
        <v>600</v>
      </c>
      <c r="V282" s="6">
        <v>265</v>
      </c>
      <c r="W282">
        <v>900</v>
      </c>
      <c r="Y282" s="6">
        <v>280</v>
      </c>
      <c r="Z282">
        <v>1500</v>
      </c>
      <c r="AB282" s="6">
        <v>266</v>
      </c>
      <c r="AC282">
        <v>2</v>
      </c>
    </row>
    <row r="283" spans="1:29" x14ac:dyDescent="0.25">
      <c r="A283">
        <v>282</v>
      </c>
      <c r="B283" s="1">
        <v>45163</v>
      </c>
      <c r="C283" t="s">
        <v>310</v>
      </c>
      <c r="D283" t="s">
        <v>16</v>
      </c>
      <c r="E283">
        <v>64</v>
      </c>
      <c r="F283" t="s">
        <v>20</v>
      </c>
      <c r="G283">
        <v>4</v>
      </c>
      <c r="H283">
        <v>50</v>
      </c>
      <c r="I283">
        <v>200</v>
      </c>
      <c r="J283" t="b">
        <f t="shared" si="4"/>
        <v>0</v>
      </c>
      <c r="M283" s="6" t="s">
        <v>492</v>
      </c>
      <c r="N283">
        <v>600</v>
      </c>
      <c r="V283" s="6">
        <v>266</v>
      </c>
      <c r="W283">
        <v>60</v>
      </c>
      <c r="Y283" s="6">
        <v>281</v>
      </c>
      <c r="Z283">
        <v>2000</v>
      </c>
      <c r="AB283" s="6">
        <v>267</v>
      </c>
      <c r="AC283">
        <v>3</v>
      </c>
    </row>
    <row r="284" spans="1:29" x14ac:dyDescent="0.25">
      <c r="A284">
        <v>283</v>
      </c>
      <c r="B284" s="1">
        <v>45054</v>
      </c>
      <c r="C284" t="s">
        <v>311</v>
      </c>
      <c r="D284" t="s">
        <v>16</v>
      </c>
      <c r="E284">
        <v>18</v>
      </c>
      <c r="F284" t="s">
        <v>20</v>
      </c>
      <c r="G284">
        <v>1</v>
      </c>
      <c r="H284">
        <v>500</v>
      </c>
      <c r="I284">
        <v>500</v>
      </c>
      <c r="J284" t="str">
        <f t="shared" si="4"/>
        <v>18-25</v>
      </c>
      <c r="M284" s="6" t="s">
        <v>665</v>
      </c>
      <c r="N284">
        <v>600</v>
      </c>
      <c r="V284" s="6">
        <v>267</v>
      </c>
      <c r="W284">
        <v>90</v>
      </c>
      <c r="Y284" s="6">
        <v>282</v>
      </c>
      <c r="Z284">
        <v>200</v>
      </c>
      <c r="AB284" s="6">
        <v>268</v>
      </c>
      <c r="AC284">
        <v>1</v>
      </c>
    </row>
    <row r="285" spans="1:29" x14ac:dyDescent="0.25">
      <c r="A285">
        <v>284</v>
      </c>
      <c r="B285" s="1">
        <v>44965</v>
      </c>
      <c r="C285" t="s">
        <v>312</v>
      </c>
      <c r="D285" t="s">
        <v>12</v>
      </c>
      <c r="E285">
        <v>43</v>
      </c>
      <c r="F285" t="s">
        <v>17</v>
      </c>
      <c r="G285">
        <v>4</v>
      </c>
      <c r="H285">
        <v>50</v>
      </c>
      <c r="I285">
        <v>200</v>
      </c>
      <c r="J285" t="str">
        <f t="shared" si="4"/>
        <v>36-45</v>
      </c>
      <c r="M285" s="6" t="s">
        <v>536</v>
      </c>
      <c r="N285">
        <v>600</v>
      </c>
      <c r="V285" s="6">
        <v>268</v>
      </c>
      <c r="W285">
        <v>30</v>
      </c>
      <c r="Y285" s="6">
        <v>283</v>
      </c>
      <c r="Z285">
        <v>500</v>
      </c>
      <c r="AB285" s="6">
        <v>269</v>
      </c>
      <c r="AC285">
        <v>4</v>
      </c>
    </row>
    <row r="286" spans="1:29" x14ac:dyDescent="0.25">
      <c r="A286">
        <v>285</v>
      </c>
      <c r="B286" s="1">
        <v>45153</v>
      </c>
      <c r="C286" t="s">
        <v>313</v>
      </c>
      <c r="D286" t="s">
        <v>16</v>
      </c>
      <c r="E286">
        <v>31</v>
      </c>
      <c r="F286" t="s">
        <v>20</v>
      </c>
      <c r="G286">
        <v>1</v>
      </c>
      <c r="H286">
        <v>25</v>
      </c>
      <c r="I286">
        <v>25</v>
      </c>
      <c r="J286" t="str">
        <f t="shared" si="4"/>
        <v>26-35</v>
      </c>
      <c r="M286" s="6" t="s">
        <v>471</v>
      </c>
      <c r="N286">
        <v>600</v>
      </c>
      <c r="V286" s="6">
        <v>269</v>
      </c>
      <c r="W286">
        <v>2000</v>
      </c>
      <c r="Y286" s="6">
        <v>284</v>
      </c>
      <c r="Z286">
        <v>200</v>
      </c>
      <c r="AB286" s="6">
        <v>270</v>
      </c>
      <c r="AC286">
        <v>1</v>
      </c>
    </row>
    <row r="287" spans="1:29" x14ac:dyDescent="0.25">
      <c r="A287">
        <v>286</v>
      </c>
      <c r="B287" s="1">
        <v>45208</v>
      </c>
      <c r="C287" t="s">
        <v>314</v>
      </c>
      <c r="D287" t="s">
        <v>12</v>
      </c>
      <c r="E287">
        <v>55</v>
      </c>
      <c r="F287" t="s">
        <v>20</v>
      </c>
      <c r="G287">
        <v>2</v>
      </c>
      <c r="H287">
        <v>25</v>
      </c>
      <c r="I287">
        <v>50</v>
      </c>
      <c r="J287" t="str">
        <f t="shared" si="4"/>
        <v>46-60</v>
      </c>
      <c r="M287" s="6" t="s">
        <v>414</v>
      </c>
      <c r="N287">
        <v>600</v>
      </c>
      <c r="V287" s="6">
        <v>270</v>
      </c>
      <c r="W287">
        <v>300</v>
      </c>
      <c r="Y287" s="6">
        <v>285</v>
      </c>
      <c r="Z287">
        <v>25</v>
      </c>
      <c r="AB287" s="6">
        <v>271</v>
      </c>
      <c r="AC287">
        <v>4</v>
      </c>
    </row>
    <row r="288" spans="1:29" x14ac:dyDescent="0.25">
      <c r="A288">
        <v>287</v>
      </c>
      <c r="B288" s="1">
        <v>44977</v>
      </c>
      <c r="C288" t="s">
        <v>315</v>
      </c>
      <c r="D288" t="s">
        <v>12</v>
      </c>
      <c r="E288">
        <v>54</v>
      </c>
      <c r="F288" t="s">
        <v>17</v>
      </c>
      <c r="G288">
        <v>4</v>
      </c>
      <c r="H288">
        <v>25</v>
      </c>
      <c r="I288">
        <v>100</v>
      </c>
      <c r="J288" t="str">
        <f t="shared" si="4"/>
        <v>46-60</v>
      </c>
      <c r="M288" s="6" t="s">
        <v>401</v>
      </c>
      <c r="N288">
        <v>600</v>
      </c>
      <c r="V288" s="6">
        <v>271</v>
      </c>
      <c r="W288">
        <v>120</v>
      </c>
      <c r="Y288" s="6">
        <v>286</v>
      </c>
      <c r="Z288">
        <v>50</v>
      </c>
      <c r="AB288" s="6">
        <v>272</v>
      </c>
      <c r="AC288">
        <v>2</v>
      </c>
    </row>
    <row r="289" spans="1:29" x14ac:dyDescent="0.25">
      <c r="A289">
        <v>288</v>
      </c>
      <c r="B289" s="1">
        <v>44952</v>
      </c>
      <c r="C289" t="s">
        <v>316</v>
      </c>
      <c r="D289" t="s">
        <v>12</v>
      </c>
      <c r="E289">
        <v>28</v>
      </c>
      <c r="F289" t="s">
        <v>17</v>
      </c>
      <c r="G289">
        <v>4</v>
      </c>
      <c r="H289">
        <v>30</v>
      </c>
      <c r="I289">
        <v>120</v>
      </c>
      <c r="J289" t="str">
        <f t="shared" si="4"/>
        <v>26-35</v>
      </c>
      <c r="M289" s="6" t="s">
        <v>571</v>
      </c>
      <c r="N289">
        <v>600</v>
      </c>
      <c r="V289" s="6">
        <v>272</v>
      </c>
      <c r="W289">
        <v>100</v>
      </c>
      <c r="Y289" s="6">
        <v>287</v>
      </c>
      <c r="Z289">
        <v>100</v>
      </c>
      <c r="AB289" s="6">
        <v>273</v>
      </c>
      <c r="AC289">
        <v>1</v>
      </c>
    </row>
    <row r="290" spans="1:29" x14ac:dyDescent="0.25">
      <c r="A290">
        <v>289</v>
      </c>
      <c r="B290" s="1">
        <v>45260</v>
      </c>
      <c r="C290" t="s">
        <v>317</v>
      </c>
      <c r="D290" t="s">
        <v>12</v>
      </c>
      <c r="E290">
        <v>53</v>
      </c>
      <c r="F290" t="s">
        <v>20</v>
      </c>
      <c r="G290">
        <v>2</v>
      </c>
      <c r="H290">
        <v>30</v>
      </c>
      <c r="I290">
        <v>60</v>
      </c>
      <c r="J290" t="str">
        <f t="shared" si="4"/>
        <v>46-60</v>
      </c>
      <c r="M290" s="6" t="s">
        <v>318</v>
      </c>
      <c r="N290">
        <v>600</v>
      </c>
      <c r="V290" s="6">
        <v>273</v>
      </c>
      <c r="W290">
        <v>50</v>
      </c>
      <c r="Y290" s="6">
        <v>288</v>
      </c>
      <c r="Z290">
        <v>120</v>
      </c>
      <c r="AB290" s="6">
        <v>274</v>
      </c>
      <c r="AC290">
        <v>2</v>
      </c>
    </row>
    <row r="291" spans="1:29" x14ac:dyDescent="0.25">
      <c r="A291">
        <v>290</v>
      </c>
      <c r="B291" s="1">
        <v>45203</v>
      </c>
      <c r="C291" t="s">
        <v>318</v>
      </c>
      <c r="D291" t="s">
        <v>16</v>
      </c>
      <c r="E291">
        <v>30</v>
      </c>
      <c r="F291" t="s">
        <v>13</v>
      </c>
      <c r="G291">
        <v>2</v>
      </c>
      <c r="H291">
        <v>300</v>
      </c>
      <c r="I291">
        <v>600</v>
      </c>
      <c r="J291" t="str">
        <f t="shared" si="4"/>
        <v>26-35</v>
      </c>
      <c r="M291" s="6" t="s">
        <v>124</v>
      </c>
      <c r="N291">
        <v>600</v>
      </c>
      <c r="V291" s="6">
        <v>274</v>
      </c>
      <c r="W291">
        <v>1000</v>
      </c>
      <c r="Y291" s="6">
        <v>289</v>
      </c>
      <c r="Z291">
        <v>60</v>
      </c>
      <c r="AB291" s="6">
        <v>275</v>
      </c>
      <c r="AC291">
        <v>2</v>
      </c>
    </row>
    <row r="292" spans="1:29" x14ac:dyDescent="0.25">
      <c r="A292">
        <v>291</v>
      </c>
      <c r="B292" s="1">
        <v>44934</v>
      </c>
      <c r="C292" t="s">
        <v>319</v>
      </c>
      <c r="D292" t="s">
        <v>12</v>
      </c>
      <c r="E292">
        <v>60</v>
      </c>
      <c r="F292" t="s">
        <v>17</v>
      </c>
      <c r="G292">
        <v>2</v>
      </c>
      <c r="H292">
        <v>300</v>
      </c>
      <c r="I292">
        <v>600</v>
      </c>
      <c r="J292" t="str">
        <f t="shared" si="4"/>
        <v>46-60</v>
      </c>
      <c r="M292" s="6" t="s">
        <v>157</v>
      </c>
      <c r="N292">
        <v>600</v>
      </c>
      <c r="V292" s="6">
        <v>275</v>
      </c>
      <c r="W292">
        <v>1000</v>
      </c>
      <c r="Y292" s="6">
        <v>290</v>
      </c>
      <c r="Z292">
        <v>600</v>
      </c>
      <c r="AB292" s="6">
        <v>276</v>
      </c>
      <c r="AC292">
        <v>4</v>
      </c>
    </row>
    <row r="293" spans="1:29" x14ac:dyDescent="0.25">
      <c r="A293">
        <v>292</v>
      </c>
      <c r="B293" s="1">
        <v>44974</v>
      </c>
      <c r="C293" t="s">
        <v>320</v>
      </c>
      <c r="D293" t="s">
        <v>12</v>
      </c>
      <c r="E293">
        <v>20</v>
      </c>
      <c r="F293" t="s">
        <v>13</v>
      </c>
      <c r="G293">
        <v>4</v>
      </c>
      <c r="H293">
        <v>300</v>
      </c>
      <c r="I293">
        <v>1200</v>
      </c>
      <c r="J293" t="str">
        <f t="shared" si="4"/>
        <v>18-25</v>
      </c>
      <c r="M293" s="6" t="s">
        <v>261</v>
      </c>
      <c r="N293">
        <v>600</v>
      </c>
      <c r="V293" s="6">
        <v>276</v>
      </c>
      <c r="W293">
        <v>100</v>
      </c>
      <c r="Y293" s="6">
        <v>291</v>
      </c>
      <c r="Z293">
        <v>600</v>
      </c>
      <c r="AB293" s="6">
        <v>277</v>
      </c>
      <c r="AC293">
        <v>4</v>
      </c>
    </row>
    <row r="294" spans="1:29" x14ac:dyDescent="0.25">
      <c r="A294">
        <v>293</v>
      </c>
      <c r="B294" s="1">
        <v>45048</v>
      </c>
      <c r="C294" t="s">
        <v>321</v>
      </c>
      <c r="D294" t="s">
        <v>12</v>
      </c>
      <c r="E294">
        <v>50</v>
      </c>
      <c r="F294" t="s">
        <v>20</v>
      </c>
      <c r="G294">
        <v>3</v>
      </c>
      <c r="H294">
        <v>30</v>
      </c>
      <c r="I294">
        <v>90</v>
      </c>
      <c r="J294" t="str">
        <f t="shared" si="4"/>
        <v>46-60</v>
      </c>
      <c r="M294" s="6" t="s">
        <v>159</v>
      </c>
      <c r="N294">
        <v>600</v>
      </c>
      <c r="V294" s="6">
        <v>277</v>
      </c>
      <c r="W294">
        <v>100</v>
      </c>
      <c r="Y294" s="6">
        <v>292</v>
      </c>
      <c r="Z294">
        <v>1200</v>
      </c>
      <c r="AB294" s="6">
        <v>278</v>
      </c>
      <c r="AC294">
        <v>4</v>
      </c>
    </row>
    <row r="295" spans="1:29" x14ac:dyDescent="0.25">
      <c r="A295">
        <v>294</v>
      </c>
      <c r="B295" s="1">
        <v>45012</v>
      </c>
      <c r="C295" t="s">
        <v>322</v>
      </c>
      <c r="D295" t="s">
        <v>16</v>
      </c>
      <c r="E295">
        <v>23</v>
      </c>
      <c r="F295" t="s">
        <v>17</v>
      </c>
      <c r="G295">
        <v>3</v>
      </c>
      <c r="H295">
        <v>30</v>
      </c>
      <c r="I295">
        <v>90</v>
      </c>
      <c r="J295" t="str">
        <f t="shared" si="4"/>
        <v>18-25</v>
      </c>
      <c r="M295" s="6" t="s">
        <v>186</v>
      </c>
      <c r="N295">
        <v>600</v>
      </c>
      <c r="V295" s="6">
        <v>278</v>
      </c>
      <c r="W295">
        <v>100</v>
      </c>
      <c r="Y295" s="6">
        <v>293</v>
      </c>
      <c r="Z295">
        <v>90</v>
      </c>
      <c r="AB295" s="6">
        <v>279</v>
      </c>
      <c r="AC295">
        <v>1</v>
      </c>
    </row>
    <row r="296" spans="1:29" x14ac:dyDescent="0.25">
      <c r="A296">
        <v>295</v>
      </c>
      <c r="B296" s="1">
        <v>45135</v>
      </c>
      <c r="C296" t="s">
        <v>323</v>
      </c>
      <c r="D296" t="s">
        <v>16</v>
      </c>
      <c r="E296">
        <v>27</v>
      </c>
      <c r="F296" t="s">
        <v>13</v>
      </c>
      <c r="G296">
        <v>3</v>
      </c>
      <c r="H296">
        <v>300</v>
      </c>
      <c r="I296">
        <v>900</v>
      </c>
      <c r="J296" t="str">
        <f t="shared" si="4"/>
        <v>26-35</v>
      </c>
      <c r="M296" s="6" t="s">
        <v>319</v>
      </c>
      <c r="N296">
        <v>600</v>
      </c>
      <c r="V296" s="6">
        <v>279</v>
      </c>
      <c r="W296">
        <v>500</v>
      </c>
      <c r="Y296" s="6">
        <v>294</v>
      </c>
      <c r="Z296">
        <v>90</v>
      </c>
      <c r="AB296" s="6">
        <v>280</v>
      </c>
      <c r="AC296">
        <v>3</v>
      </c>
    </row>
    <row r="297" spans="1:29" x14ac:dyDescent="0.25">
      <c r="A297">
        <v>296</v>
      </c>
      <c r="B297" s="1">
        <v>45175</v>
      </c>
      <c r="C297" t="s">
        <v>324</v>
      </c>
      <c r="D297" t="s">
        <v>16</v>
      </c>
      <c r="E297">
        <v>22</v>
      </c>
      <c r="F297" t="s">
        <v>17</v>
      </c>
      <c r="G297">
        <v>4</v>
      </c>
      <c r="H297">
        <v>300</v>
      </c>
      <c r="I297">
        <v>1200</v>
      </c>
      <c r="J297" t="str">
        <f t="shared" si="4"/>
        <v>18-25</v>
      </c>
      <c r="M297" s="6" t="s">
        <v>129</v>
      </c>
      <c r="N297">
        <v>600</v>
      </c>
      <c r="V297" s="6">
        <v>280</v>
      </c>
      <c r="W297">
        <v>1500</v>
      </c>
      <c r="Y297" s="6">
        <v>295</v>
      </c>
      <c r="Z297">
        <v>900</v>
      </c>
      <c r="AB297" s="6">
        <v>281</v>
      </c>
      <c r="AC297">
        <v>4</v>
      </c>
    </row>
    <row r="298" spans="1:29" x14ac:dyDescent="0.25">
      <c r="A298">
        <v>297</v>
      </c>
      <c r="B298" s="1">
        <v>45173</v>
      </c>
      <c r="C298" t="s">
        <v>325</v>
      </c>
      <c r="D298" t="s">
        <v>16</v>
      </c>
      <c r="E298">
        <v>40</v>
      </c>
      <c r="F298" t="s">
        <v>20</v>
      </c>
      <c r="G298">
        <v>2</v>
      </c>
      <c r="H298">
        <v>500</v>
      </c>
      <c r="I298">
        <v>1000</v>
      </c>
      <c r="J298" t="str">
        <f t="shared" si="4"/>
        <v>36-45</v>
      </c>
      <c r="M298" s="6" t="s">
        <v>330</v>
      </c>
      <c r="N298">
        <v>600</v>
      </c>
      <c r="V298" s="6">
        <v>281</v>
      </c>
      <c r="W298">
        <v>2000</v>
      </c>
      <c r="Y298" s="6">
        <v>296</v>
      </c>
      <c r="Z298">
        <v>1200</v>
      </c>
      <c r="AB298" s="6">
        <v>282</v>
      </c>
      <c r="AC298">
        <v>4</v>
      </c>
    </row>
    <row r="299" spans="1:29" x14ac:dyDescent="0.25">
      <c r="A299">
        <v>298</v>
      </c>
      <c r="B299" s="1">
        <v>45036</v>
      </c>
      <c r="C299" t="s">
        <v>326</v>
      </c>
      <c r="D299" t="s">
        <v>12</v>
      </c>
      <c r="E299">
        <v>27</v>
      </c>
      <c r="F299" t="s">
        <v>13</v>
      </c>
      <c r="G299">
        <v>4</v>
      </c>
      <c r="H299">
        <v>300</v>
      </c>
      <c r="I299">
        <v>1200</v>
      </c>
      <c r="J299" t="str">
        <f t="shared" si="4"/>
        <v>26-35</v>
      </c>
      <c r="M299" s="6" t="s">
        <v>32</v>
      </c>
      <c r="N299">
        <v>600</v>
      </c>
      <c r="V299" s="6">
        <v>282</v>
      </c>
      <c r="W299">
        <v>200</v>
      </c>
      <c r="Y299" s="6">
        <v>297</v>
      </c>
      <c r="Z299">
        <v>1000</v>
      </c>
      <c r="AB299" s="6">
        <v>283</v>
      </c>
      <c r="AC299">
        <v>1</v>
      </c>
    </row>
    <row r="300" spans="1:29" x14ac:dyDescent="0.25">
      <c r="A300">
        <v>299</v>
      </c>
      <c r="B300" s="1">
        <v>45132</v>
      </c>
      <c r="C300" t="s">
        <v>327</v>
      </c>
      <c r="D300" t="s">
        <v>12</v>
      </c>
      <c r="E300">
        <v>61</v>
      </c>
      <c r="F300" t="s">
        <v>20</v>
      </c>
      <c r="G300">
        <v>2</v>
      </c>
      <c r="H300">
        <v>500</v>
      </c>
      <c r="I300">
        <v>1000</v>
      </c>
      <c r="J300" t="b">
        <f t="shared" si="4"/>
        <v>0</v>
      </c>
      <c r="M300" s="6" t="s">
        <v>164</v>
      </c>
      <c r="N300">
        <v>600</v>
      </c>
      <c r="V300" s="6">
        <v>283</v>
      </c>
      <c r="W300">
        <v>500</v>
      </c>
      <c r="Y300" s="6">
        <v>298</v>
      </c>
      <c r="Z300">
        <v>1200</v>
      </c>
      <c r="AB300" s="6">
        <v>284</v>
      </c>
      <c r="AC300">
        <v>4</v>
      </c>
    </row>
    <row r="301" spans="1:29" x14ac:dyDescent="0.25">
      <c r="A301">
        <v>300</v>
      </c>
      <c r="B301" s="1">
        <v>44957</v>
      </c>
      <c r="C301" t="s">
        <v>328</v>
      </c>
      <c r="D301" t="s">
        <v>16</v>
      </c>
      <c r="E301">
        <v>19</v>
      </c>
      <c r="F301" t="s">
        <v>20</v>
      </c>
      <c r="G301">
        <v>4</v>
      </c>
      <c r="H301">
        <v>50</v>
      </c>
      <c r="I301">
        <v>200</v>
      </c>
      <c r="J301" t="str">
        <f t="shared" si="4"/>
        <v>18-25</v>
      </c>
      <c r="M301" s="6" t="s">
        <v>249</v>
      </c>
      <c r="N301">
        <v>600</v>
      </c>
      <c r="V301" s="6">
        <v>284</v>
      </c>
      <c r="W301">
        <v>200</v>
      </c>
      <c r="Y301" s="6">
        <v>299</v>
      </c>
      <c r="Z301">
        <v>1000</v>
      </c>
      <c r="AB301" s="6">
        <v>285</v>
      </c>
      <c r="AC301">
        <v>1</v>
      </c>
    </row>
    <row r="302" spans="1:29" x14ac:dyDescent="0.25">
      <c r="A302">
        <v>301</v>
      </c>
      <c r="B302" s="1">
        <v>45011</v>
      </c>
      <c r="C302" t="s">
        <v>329</v>
      </c>
      <c r="D302" t="s">
        <v>12</v>
      </c>
      <c r="E302">
        <v>30</v>
      </c>
      <c r="F302" t="s">
        <v>17</v>
      </c>
      <c r="G302">
        <v>4</v>
      </c>
      <c r="H302">
        <v>30</v>
      </c>
      <c r="I302">
        <v>120</v>
      </c>
      <c r="J302" t="str">
        <f t="shared" si="4"/>
        <v>26-35</v>
      </c>
      <c r="M302" s="6" t="s">
        <v>725</v>
      </c>
      <c r="N302">
        <v>500</v>
      </c>
      <c r="V302" s="6">
        <v>285</v>
      </c>
      <c r="W302">
        <v>25</v>
      </c>
      <c r="Y302" s="6">
        <v>300</v>
      </c>
      <c r="Z302">
        <v>200</v>
      </c>
      <c r="AB302" s="6">
        <v>286</v>
      </c>
      <c r="AC302">
        <v>2</v>
      </c>
    </row>
    <row r="303" spans="1:29" x14ac:dyDescent="0.25">
      <c r="A303">
        <v>302</v>
      </c>
      <c r="B303" s="1">
        <v>45121</v>
      </c>
      <c r="C303" t="s">
        <v>330</v>
      </c>
      <c r="D303" t="s">
        <v>12</v>
      </c>
      <c r="E303">
        <v>57</v>
      </c>
      <c r="F303" t="s">
        <v>13</v>
      </c>
      <c r="G303">
        <v>2</v>
      </c>
      <c r="H303">
        <v>300</v>
      </c>
      <c r="I303">
        <v>600</v>
      </c>
      <c r="J303" t="str">
        <f t="shared" si="4"/>
        <v>46-60</v>
      </c>
      <c r="M303" s="6" t="s">
        <v>892</v>
      </c>
      <c r="N303">
        <v>500</v>
      </c>
      <c r="V303" s="6">
        <v>286</v>
      </c>
      <c r="W303">
        <v>50</v>
      </c>
      <c r="Y303" s="6">
        <v>301</v>
      </c>
      <c r="Z303">
        <v>120</v>
      </c>
      <c r="AB303" s="6">
        <v>287</v>
      </c>
      <c r="AC303">
        <v>4</v>
      </c>
    </row>
    <row r="304" spans="1:29" x14ac:dyDescent="0.25">
      <c r="A304">
        <v>303</v>
      </c>
      <c r="B304" s="1">
        <v>44928</v>
      </c>
      <c r="C304" t="s">
        <v>331</v>
      </c>
      <c r="D304" t="s">
        <v>12</v>
      </c>
      <c r="E304">
        <v>19</v>
      </c>
      <c r="F304" t="s">
        <v>20</v>
      </c>
      <c r="G304">
        <v>3</v>
      </c>
      <c r="H304">
        <v>30</v>
      </c>
      <c r="I304">
        <v>90</v>
      </c>
      <c r="J304" t="str">
        <f t="shared" si="4"/>
        <v>18-25</v>
      </c>
      <c r="M304" s="6" t="s">
        <v>745</v>
      </c>
      <c r="N304">
        <v>500</v>
      </c>
      <c r="V304" s="6">
        <v>287</v>
      </c>
      <c r="W304">
        <v>100</v>
      </c>
      <c r="Y304" s="6">
        <v>302</v>
      </c>
      <c r="Z304">
        <v>600</v>
      </c>
      <c r="AB304" s="6">
        <v>288</v>
      </c>
      <c r="AC304">
        <v>4</v>
      </c>
    </row>
    <row r="305" spans="1:29" x14ac:dyDescent="0.25">
      <c r="A305">
        <v>304</v>
      </c>
      <c r="B305" s="1">
        <v>45126</v>
      </c>
      <c r="C305" t="s">
        <v>332</v>
      </c>
      <c r="D305" t="s">
        <v>16</v>
      </c>
      <c r="E305">
        <v>37</v>
      </c>
      <c r="F305" t="s">
        <v>20</v>
      </c>
      <c r="G305">
        <v>2</v>
      </c>
      <c r="H305">
        <v>30</v>
      </c>
      <c r="I305">
        <v>60</v>
      </c>
      <c r="J305" t="str">
        <f t="shared" si="4"/>
        <v>36-45</v>
      </c>
      <c r="M305" s="6" t="s">
        <v>742</v>
      </c>
      <c r="N305">
        <v>500</v>
      </c>
      <c r="V305" s="6">
        <v>288</v>
      </c>
      <c r="W305">
        <v>120</v>
      </c>
      <c r="Y305" s="6">
        <v>303</v>
      </c>
      <c r="Z305">
        <v>90</v>
      </c>
      <c r="AB305" s="6">
        <v>289</v>
      </c>
      <c r="AC305">
        <v>2</v>
      </c>
    </row>
    <row r="306" spans="1:29" x14ac:dyDescent="0.25">
      <c r="A306">
        <v>305</v>
      </c>
      <c r="B306" s="1">
        <v>45062</v>
      </c>
      <c r="C306" t="s">
        <v>333</v>
      </c>
      <c r="D306" t="s">
        <v>16</v>
      </c>
      <c r="E306">
        <v>18</v>
      </c>
      <c r="F306" t="s">
        <v>13</v>
      </c>
      <c r="G306">
        <v>1</v>
      </c>
      <c r="H306">
        <v>30</v>
      </c>
      <c r="I306">
        <v>30</v>
      </c>
      <c r="J306" t="str">
        <f t="shared" si="4"/>
        <v>18-25</v>
      </c>
      <c r="M306" s="6" t="s">
        <v>749</v>
      </c>
      <c r="N306">
        <v>500</v>
      </c>
      <c r="V306" s="6">
        <v>289</v>
      </c>
      <c r="W306">
        <v>60</v>
      </c>
      <c r="Y306" s="6">
        <v>304</v>
      </c>
      <c r="Z306">
        <v>60</v>
      </c>
      <c r="AB306" s="6">
        <v>290</v>
      </c>
      <c r="AC306">
        <v>2</v>
      </c>
    </row>
    <row r="307" spans="1:29" x14ac:dyDescent="0.25">
      <c r="A307">
        <v>306</v>
      </c>
      <c r="B307" s="1">
        <v>45159</v>
      </c>
      <c r="C307" t="s">
        <v>334</v>
      </c>
      <c r="D307" t="s">
        <v>12</v>
      </c>
      <c r="E307">
        <v>54</v>
      </c>
      <c r="F307" t="s">
        <v>20</v>
      </c>
      <c r="G307">
        <v>1</v>
      </c>
      <c r="H307">
        <v>50</v>
      </c>
      <c r="I307">
        <v>50</v>
      </c>
      <c r="J307" t="str">
        <f t="shared" si="4"/>
        <v>46-60</v>
      </c>
      <c r="M307" s="6" t="s">
        <v>788</v>
      </c>
      <c r="N307">
        <v>500</v>
      </c>
      <c r="V307" s="6">
        <v>290</v>
      </c>
      <c r="W307">
        <v>600</v>
      </c>
      <c r="Y307" s="6">
        <v>305</v>
      </c>
      <c r="Z307">
        <v>30</v>
      </c>
      <c r="AB307" s="6">
        <v>291</v>
      </c>
      <c r="AC307">
        <v>2</v>
      </c>
    </row>
    <row r="308" spans="1:29" x14ac:dyDescent="0.25">
      <c r="A308">
        <v>307</v>
      </c>
      <c r="B308" s="1">
        <v>45073</v>
      </c>
      <c r="C308" t="s">
        <v>335</v>
      </c>
      <c r="D308" t="s">
        <v>16</v>
      </c>
      <c r="E308">
        <v>26</v>
      </c>
      <c r="F308" t="s">
        <v>20</v>
      </c>
      <c r="G308">
        <v>2</v>
      </c>
      <c r="H308">
        <v>25</v>
      </c>
      <c r="I308">
        <v>50</v>
      </c>
      <c r="J308" t="str">
        <f t="shared" si="4"/>
        <v>26-35</v>
      </c>
      <c r="M308" s="6" t="s">
        <v>1012</v>
      </c>
      <c r="N308">
        <v>500</v>
      </c>
      <c r="V308" s="6">
        <v>291</v>
      </c>
      <c r="W308">
        <v>600</v>
      </c>
      <c r="Y308" s="6">
        <v>306</v>
      </c>
      <c r="Z308">
        <v>50</v>
      </c>
      <c r="AB308" s="6">
        <v>292</v>
      </c>
      <c r="AC308">
        <v>4</v>
      </c>
    </row>
    <row r="309" spans="1:29" x14ac:dyDescent="0.25">
      <c r="A309">
        <v>308</v>
      </c>
      <c r="B309" s="1">
        <v>45143</v>
      </c>
      <c r="C309" t="s">
        <v>336</v>
      </c>
      <c r="D309" t="s">
        <v>16</v>
      </c>
      <c r="E309">
        <v>34</v>
      </c>
      <c r="F309" t="s">
        <v>13</v>
      </c>
      <c r="G309">
        <v>4</v>
      </c>
      <c r="H309">
        <v>300</v>
      </c>
      <c r="I309">
        <v>1200</v>
      </c>
      <c r="J309" t="str">
        <f t="shared" si="4"/>
        <v>26-35</v>
      </c>
      <c r="M309" s="6" t="s">
        <v>962</v>
      </c>
      <c r="N309">
        <v>500</v>
      </c>
      <c r="V309" s="6">
        <v>292</v>
      </c>
      <c r="W309">
        <v>1200</v>
      </c>
      <c r="Y309" s="6">
        <v>307</v>
      </c>
      <c r="Z309">
        <v>50</v>
      </c>
      <c r="AB309" s="6">
        <v>293</v>
      </c>
      <c r="AC309">
        <v>3</v>
      </c>
    </row>
    <row r="310" spans="1:29" x14ac:dyDescent="0.25">
      <c r="A310">
        <v>309</v>
      </c>
      <c r="B310" s="1">
        <v>45283</v>
      </c>
      <c r="C310" t="s">
        <v>337</v>
      </c>
      <c r="D310" t="s">
        <v>16</v>
      </c>
      <c r="E310">
        <v>26</v>
      </c>
      <c r="F310" t="s">
        <v>13</v>
      </c>
      <c r="G310">
        <v>1</v>
      </c>
      <c r="H310">
        <v>25</v>
      </c>
      <c r="I310">
        <v>25</v>
      </c>
      <c r="J310" t="str">
        <f t="shared" si="4"/>
        <v>26-35</v>
      </c>
      <c r="M310" s="6" t="s">
        <v>735</v>
      </c>
      <c r="N310">
        <v>500</v>
      </c>
      <c r="V310" s="6">
        <v>293</v>
      </c>
      <c r="W310">
        <v>90</v>
      </c>
      <c r="Y310" s="6">
        <v>308</v>
      </c>
      <c r="Z310">
        <v>1200</v>
      </c>
      <c r="AB310" s="6">
        <v>294</v>
      </c>
      <c r="AC310">
        <v>3</v>
      </c>
    </row>
    <row r="311" spans="1:29" x14ac:dyDescent="0.25">
      <c r="A311">
        <v>310</v>
      </c>
      <c r="B311" s="1">
        <v>45211</v>
      </c>
      <c r="C311" t="s">
        <v>338</v>
      </c>
      <c r="D311" t="s">
        <v>16</v>
      </c>
      <c r="E311">
        <v>28</v>
      </c>
      <c r="F311" t="s">
        <v>13</v>
      </c>
      <c r="G311">
        <v>1</v>
      </c>
      <c r="H311">
        <v>25</v>
      </c>
      <c r="I311">
        <v>25</v>
      </c>
      <c r="J311" t="str">
        <f t="shared" si="4"/>
        <v>26-35</v>
      </c>
      <c r="M311" s="6" t="s">
        <v>965</v>
      </c>
      <c r="N311">
        <v>500</v>
      </c>
      <c r="V311" s="6">
        <v>294</v>
      </c>
      <c r="W311">
        <v>90</v>
      </c>
      <c r="Y311" s="6">
        <v>309</v>
      </c>
      <c r="Z311">
        <v>25</v>
      </c>
      <c r="AB311" s="6">
        <v>295</v>
      </c>
      <c r="AC311">
        <v>3</v>
      </c>
    </row>
    <row r="312" spans="1:29" x14ac:dyDescent="0.25">
      <c r="A312">
        <v>311</v>
      </c>
      <c r="B312" s="1">
        <v>45265</v>
      </c>
      <c r="C312" t="s">
        <v>339</v>
      </c>
      <c r="D312" t="s">
        <v>16</v>
      </c>
      <c r="E312">
        <v>32</v>
      </c>
      <c r="F312" t="s">
        <v>13</v>
      </c>
      <c r="G312">
        <v>4</v>
      </c>
      <c r="H312">
        <v>25</v>
      </c>
      <c r="I312">
        <v>100</v>
      </c>
      <c r="J312" t="str">
        <f t="shared" si="4"/>
        <v>26-35</v>
      </c>
      <c r="M312" s="6" t="s">
        <v>812</v>
      </c>
      <c r="N312">
        <v>500</v>
      </c>
      <c r="V312" s="6">
        <v>295</v>
      </c>
      <c r="W312">
        <v>900</v>
      </c>
      <c r="Y312" s="6">
        <v>310</v>
      </c>
      <c r="Z312">
        <v>25</v>
      </c>
      <c r="AB312" s="6">
        <v>296</v>
      </c>
      <c r="AC312">
        <v>4</v>
      </c>
    </row>
    <row r="313" spans="1:29" x14ac:dyDescent="0.25">
      <c r="A313">
        <v>312</v>
      </c>
      <c r="B313" s="1">
        <v>45176</v>
      </c>
      <c r="C313" t="s">
        <v>340</v>
      </c>
      <c r="D313" t="s">
        <v>12</v>
      </c>
      <c r="E313">
        <v>41</v>
      </c>
      <c r="F313" t="s">
        <v>17</v>
      </c>
      <c r="G313">
        <v>4</v>
      </c>
      <c r="H313">
        <v>30</v>
      </c>
      <c r="I313">
        <v>120</v>
      </c>
      <c r="J313" t="str">
        <f t="shared" si="4"/>
        <v>36-45</v>
      </c>
      <c r="M313" s="6" t="s">
        <v>789</v>
      </c>
      <c r="N313">
        <v>500</v>
      </c>
      <c r="V313" s="6">
        <v>296</v>
      </c>
      <c r="W313">
        <v>1200</v>
      </c>
      <c r="Y313" s="6">
        <v>311</v>
      </c>
      <c r="Z313">
        <v>100</v>
      </c>
      <c r="AB313" s="6">
        <v>297</v>
      </c>
      <c r="AC313">
        <v>2</v>
      </c>
    </row>
    <row r="314" spans="1:29" x14ac:dyDescent="0.25">
      <c r="A314">
        <v>313</v>
      </c>
      <c r="B314" s="1">
        <v>45006</v>
      </c>
      <c r="C314" t="s">
        <v>341</v>
      </c>
      <c r="D314" t="s">
        <v>16</v>
      </c>
      <c r="E314">
        <v>55</v>
      </c>
      <c r="F314" t="s">
        <v>13</v>
      </c>
      <c r="G314">
        <v>3</v>
      </c>
      <c r="H314">
        <v>500</v>
      </c>
      <c r="I314">
        <v>1500</v>
      </c>
      <c r="J314" t="str">
        <f t="shared" si="4"/>
        <v>46-60</v>
      </c>
      <c r="M314" s="6" t="s">
        <v>895</v>
      </c>
      <c r="N314">
        <v>500</v>
      </c>
      <c r="V314" s="6">
        <v>297</v>
      </c>
      <c r="W314">
        <v>1000</v>
      </c>
      <c r="Y314" s="6">
        <v>312</v>
      </c>
      <c r="Z314">
        <v>120</v>
      </c>
      <c r="AB314" s="6">
        <v>298</v>
      </c>
      <c r="AC314">
        <v>4</v>
      </c>
    </row>
    <row r="315" spans="1:29" x14ac:dyDescent="0.25">
      <c r="A315">
        <v>314</v>
      </c>
      <c r="B315" s="1">
        <v>45024</v>
      </c>
      <c r="C315" t="s">
        <v>342</v>
      </c>
      <c r="D315" t="s">
        <v>12</v>
      </c>
      <c r="E315">
        <v>52</v>
      </c>
      <c r="F315" t="s">
        <v>17</v>
      </c>
      <c r="G315">
        <v>4</v>
      </c>
      <c r="H315">
        <v>30</v>
      </c>
      <c r="I315">
        <v>120</v>
      </c>
      <c r="J315" t="str">
        <f t="shared" si="4"/>
        <v>46-60</v>
      </c>
      <c r="M315" s="6" t="s">
        <v>842</v>
      </c>
      <c r="N315">
        <v>500</v>
      </c>
      <c r="V315" s="6">
        <v>298</v>
      </c>
      <c r="W315">
        <v>1200</v>
      </c>
      <c r="Y315" s="6">
        <v>313</v>
      </c>
      <c r="Z315">
        <v>1500</v>
      </c>
      <c r="AB315" s="6">
        <v>299</v>
      </c>
      <c r="AC315">
        <v>2</v>
      </c>
    </row>
    <row r="316" spans="1:29" x14ac:dyDescent="0.25">
      <c r="A316">
        <v>315</v>
      </c>
      <c r="B316" s="1">
        <v>45078</v>
      </c>
      <c r="C316" t="s">
        <v>343</v>
      </c>
      <c r="D316" t="s">
        <v>12</v>
      </c>
      <c r="E316">
        <v>47</v>
      </c>
      <c r="F316" t="s">
        <v>17</v>
      </c>
      <c r="G316">
        <v>2</v>
      </c>
      <c r="H316">
        <v>30</v>
      </c>
      <c r="I316">
        <v>60</v>
      </c>
      <c r="J316" t="str">
        <f t="shared" si="4"/>
        <v>46-60</v>
      </c>
      <c r="M316" s="6" t="s">
        <v>942</v>
      </c>
      <c r="N316">
        <v>500</v>
      </c>
      <c r="V316" s="6">
        <v>299</v>
      </c>
      <c r="W316">
        <v>1000</v>
      </c>
      <c r="Y316" s="6">
        <v>314</v>
      </c>
      <c r="Z316">
        <v>120</v>
      </c>
      <c r="AB316" s="6">
        <v>300</v>
      </c>
      <c r="AC316">
        <v>4</v>
      </c>
    </row>
    <row r="317" spans="1:29" x14ac:dyDescent="0.25">
      <c r="A317">
        <v>316</v>
      </c>
      <c r="B317" s="1">
        <v>45038</v>
      </c>
      <c r="C317" t="s">
        <v>344</v>
      </c>
      <c r="D317" t="s">
        <v>16</v>
      </c>
      <c r="E317">
        <v>48</v>
      </c>
      <c r="F317" t="s">
        <v>17</v>
      </c>
      <c r="G317">
        <v>2</v>
      </c>
      <c r="H317">
        <v>25</v>
      </c>
      <c r="I317">
        <v>50</v>
      </c>
      <c r="J317" t="str">
        <f t="shared" si="4"/>
        <v>46-60</v>
      </c>
      <c r="M317" s="6" t="s">
        <v>911</v>
      </c>
      <c r="N317">
        <v>500</v>
      </c>
      <c r="V317" s="6">
        <v>300</v>
      </c>
      <c r="W317">
        <v>200</v>
      </c>
      <c r="Y317" s="6">
        <v>315</v>
      </c>
      <c r="Z317">
        <v>60</v>
      </c>
      <c r="AB317" s="6">
        <v>301</v>
      </c>
      <c r="AC317">
        <v>4</v>
      </c>
    </row>
    <row r="318" spans="1:29" x14ac:dyDescent="0.25">
      <c r="A318">
        <v>317</v>
      </c>
      <c r="B318" s="1">
        <v>44956</v>
      </c>
      <c r="C318" t="s">
        <v>345</v>
      </c>
      <c r="D318" t="s">
        <v>12</v>
      </c>
      <c r="E318">
        <v>22</v>
      </c>
      <c r="F318" t="s">
        <v>20</v>
      </c>
      <c r="G318">
        <v>3</v>
      </c>
      <c r="H318">
        <v>30</v>
      </c>
      <c r="I318">
        <v>90</v>
      </c>
      <c r="J318" t="str">
        <f t="shared" si="4"/>
        <v>18-25</v>
      </c>
      <c r="M318" s="6" t="s">
        <v>809</v>
      </c>
      <c r="N318">
        <v>500</v>
      </c>
      <c r="V318" s="6">
        <v>301</v>
      </c>
      <c r="W318">
        <v>120</v>
      </c>
      <c r="Y318" s="6">
        <v>316</v>
      </c>
      <c r="Z318">
        <v>50</v>
      </c>
      <c r="AB318" s="6">
        <v>302</v>
      </c>
      <c r="AC318">
        <v>2</v>
      </c>
    </row>
    <row r="319" spans="1:29" x14ac:dyDescent="0.25">
      <c r="A319">
        <v>318</v>
      </c>
      <c r="B319" s="1">
        <v>45223</v>
      </c>
      <c r="C319" t="s">
        <v>346</v>
      </c>
      <c r="D319" t="s">
        <v>12</v>
      </c>
      <c r="E319">
        <v>61</v>
      </c>
      <c r="F319" t="s">
        <v>17</v>
      </c>
      <c r="G319">
        <v>1</v>
      </c>
      <c r="H319">
        <v>25</v>
      </c>
      <c r="I319">
        <v>25</v>
      </c>
      <c r="J319" t="b">
        <f t="shared" si="4"/>
        <v>0</v>
      </c>
      <c r="M319" s="6" t="s">
        <v>873</v>
      </c>
      <c r="N319">
        <v>500</v>
      </c>
      <c r="V319" s="6">
        <v>302</v>
      </c>
      <c r="W319">
        <v>600</v>
      </c>
      <c r="Y319" s="6">
        <v>317</v>
      </c>
      <c r="Z319">
        <v>90</v>
      </c>
      <c r="AB319" s="6">
        <v>303</v>
      </c>
      <c r="AC319">
        <v>3</v>
      </c>
    </row>
    <row r="320" spans="1:29" x14ac:dyDescent="0.25">
      <c r="A320">
        <v>319</v>
      </c>
      <c r="B320" s="1">
        <v>45204</v>
      </c>
      <c r="C320" t="s">
        <v>347</v>
      </c>
      <c r="D320" t="s">
        <v>12</v>
      </c>
      <c r="E320">
        <v>31</v>
      </c>
      <c r="F320" t="s">
        <v>17</v>
      </c>
      <c r="G320">
        <v>1</v>
      </c>
      <c r="H320">
        <v>500</v>
      </c>
      <c r="I320">
        <v>500</v>
      </c>
      <c r="J320" t="str">
        <f t="shared" si="4"/>
        <v>26-35</v>
      </c>
      <c r="M320" s="6" t="s">
        <v>932</v>
      </c>
      <c r="N320">
        <v>500</v>
      </c>
      <c r="V320" s="6">
        <v>303</v>
      </c>
      <c r="W320">
        <v>90</v>
      </c>
      <c r="Y320" s="6">
        <v>318</v>
      </c>
      <c r="Z320">
        <v>25</v>
      </c>
      <c r="AB320" s="6">
        <v>304</v>
      </c>
      <c r="AC320">
        <v>2</v>
      </c>
    </row>
    <row r="321" spans="1:29" x14ac:dyDescent="0.25">
      <c r="A321">
        <v>320</v>
      </c>
      <c r="B321" s="1">
        <v>44958</v>
      </c>
      <c r="C321" t="s">
        <v>348</v>
      </c>
      <c r="D321" t="s">
        <v>16</v>
      </c>
      <c r="E321">
        <v>28</v>
      </c>
      <c r="F321" t="s">
        <v>20</v>
      </c>
      <c r="G321">
        <v>4</v>
      </c>
      <c r="H321">
        <v>300</v>
      </c>
      <c r="I321">
        <v>1200</v>
      </c>
      <c r="J321" t="str">
        <f t="shared" si="4"/>
        <v>26-35</v>
      </c>
      <c r="M321" s="6" t="s">
        <v>846</v>
      </c>
      <c r="N321">
        <v>500</v>
      </c>
      <c r="V321" s="6">
        <v>304</v>
      </c>
      <c r="W321">
        <v>60</v>
      </c>
      <c r="Y321" s="6">
        <v>319</v>
      </c>
      <c r="Z321">
        <v>500</v>
      </c>
      <c r="AB321" s="6">
        <v>305</v>
      </c>
      <c r="AC321">
        <v>1</v>
      </c>
    </row>
    <row r="322" spans="1:29" x14ac:dyDescent="0.25">
      <c r="A322">
        <v>321</v>
      </c>
      <c r="B322" s="1">
        <v>45087</v>
      </c>
      <c r="C322" t="s">
        <v>349</v>
      </c>
      <c r="D322" t="s">
        <v>16</v>
      </c>
      <c r="E322">
        <v>26</v>
      </c>
      <c r="F322" t="s">
        <v>20</v>
      </c>
      <c r="G322">
        <v>2</v>
      </c>
      <c r="H322">
        <v>25</v>
      </c>
      <c r="I322">
        <v>50</v>
      </c>
      <c r="J322" t="str">
        <f t="shared" si="4"/>
        <v>26-35</v>
      </c>
      <c r="M322" s="6" t="s">
        <v>569</v>
      </c>
      <c r="N322">
        <v>500</v>
      </c>
      <c r="V322" s="6">
        <v>305</v>
      </c>
      <c r="W322">
        <v>30</v>
      </c>
      <c r="Y322" s="6">
        <v>320</v>
      </c>
      <c r="Z322">
        <v>1200</v>
      </c>
      <c r="AB322" s="6">
        <v>306</v>
      </c>
      <c r="AC322">
        <v>1</v>
      </c>
    </row>
    <row r="323" spans="1:29" x14ac:dyDescent="0.25">
      <c r="A323">
        <v>322</v>
      </c>
      <c r="B323" s="1">
        <v>44956</v>
      </c>
      <c r="C323" t="s">
        <v>350</v>
      </c>
      <c r="D323" t="s">
        <v>12</v>
      </c>
      <c r="E323">
        <v>51</v>
      </c>
      <c r="F323" t="s">
        <v>20</v>
      </c>
      <c r="G323">
        <v>1</v>
      </c>
      <c r="H323">
        <v>500</v>
      </c>
      <c r="I323">
        <v>500</v>
      </c>
      <c r="J323" t="str">
        <f t="shared" ref="J323:J386" si="5">IF(AND(E323&gt;=18,E323&lt;=25),"18-25",IF(AND(E323&gt;=26,E323&lt;=35),"26-35",IF(AND(E323&gt;=36,E323&lt;=45),"36-45",IF(AND(E323&gt;=46,E323&lt;=60),"46-60"))))</f>
        <v>46-60</v>
      </c>
      <c r="M323" s="6" t="s">
        <v>365</v>
      </c>
      <c r="N323">
        <v>500</v>
      </c>
      <c r="V323" s="6">
        <v>306</v>
      </c>
      <c r="W323">
        <v>50</v>
      </c>
      <c r="Y323" s="6">
        <v>321</v>
      </c>
      <c r="Z323">
        <v>50</v>
      </c>
      <c r="AB323" s="6">
        <v>307</v>
      </c>
      <c r="AC323">
        <v>2</v>
      </c>
    </row>
    <row r="324" spans="1:29" x14ac:dyDescent="0.25">
      <c r="A324">
        <v>323</v>
      </c>
      <c r="B324" s="1">
        <v>44952</v>
      </c>
      <c r="C324" t="s">
        <v>351</v>
      </c>
      <c r="D324" t="s">
        <v>16</v>
      </c>
      <c r="E324">
        <v>29</v>
      </c>
      <c r="F324" t="s">
        <v>13</v>
      </c>
      <c r="G324">
        <v>3</v>
      </c>
      <c r="H324">
        <v>300</v>
      </c>
      <c r="I324">
        <v>900</v>
      </c>
      <c r="J324" t="str">
        <f t="shared" si="5"/>
        <v>26-35</v>
      </c>
      <c r="M324" s="6" t="s">
        <v>392</v>
      </c>
      <c r="N324">
        <v>500</v>
      </c>
      <c r="V324" s="6">
        <v>307</v>
      </c>
      <c r="W324">
        <v>50</v>
      </c>
      <c r="Y324" s="6">
        <v>322</v>
      </c>
      <c r="Z324">
        <v>500</v>
      </c>
      <c r="AB324" s="6">
        <v>308</v>
      </c>
      <c r="AC324">
        <v>4</v>
      </c>
    </row>
    <row r="325" spans="1:29" x14ac:dyDescent="0.25">
      <c r="A325">
        <v>324</v>
      </c>
      <c r="B325" s="1">
        <v>45226</v>
      </c>
      <c r="C325" t="s">
        <v>352</v>
      </c>
      <c r="D325" t="s">
        <v>16</v>
      </c>
      <c r="E325">
        <v>52</v>
      </c>
      <c r="F325" t="s">
        <v>20</v>
      </c>
      <c r="G325">
        <v>3</v>
      </c>
      <c r="H325">
        <v>50</v>
      </c>
      <c r="I325">
        <v>150</v>
      </c>
      <c r="J325" t="str">
        <f t="shared" si="5"/>
        <v>46-60</v>
      </c>
      <c r="M325" s="6" t="s">
        <v>598</v>
      </c>
      <c r="N325">
        <v>500</v>
      </c>
      <c r="V325" s="6">
        <v>308</v>
      </c>
      <c r="W325">
        <v>1200</v>
      </c>
      <c r="Y325" s="6">
        <v>323</v>
      </c>
      <c r="Z325">
        <v>900</v>
      </c>
      <c r="AB325" s="6">
        <v>309</v>
      </c>
      <c r="AC325">
        <v>1</v>
      </c>
    </row>
    <row r="326" spans="1:29" x14ac:dyDescent="0.25">
      <c r="A326">
        <v>325</v>
      </c>
      <c r="B326" s="1">
        <v>45171</v>
      </c>
      <c r="C326" t="s">
        <v>353</v>
      </c>
      <c r="D326" t="s">
        <v>16</v>
      </c>
      <c r="E326">
        <v>52</v>
      </c>
      <c r="F326" t="s">
        <v>20</v>
      </c>
      <c r="G326">
        <v>2</v>
      </c>
      <c r="H326">
        <v>25</v>
      </c>
      <c r="I326">
        <v>50</v>
      </c>
      <c r="J326" t="str">
        <f t="shared" si="5"/>
        <v>46-60</v>
      </c>
      <c r="M326" s="6" t="s">
        <v>383</v>
      </c>
      <c r="N326">
        <v>500</v>
      </c>
      <c r="V326" s="6">
        <v>309</v>
      </c>
      <c r="W326">
        <v>25</v>
      </c>
      <c r="Y326" s="6">
        <v>324</v>
      </c>
      <c r="Z326">
        <v>150</v>
      </c>
      <c r="AB326" s="6">
        <v>310</v>
      </c>
      <c r="AC326">
        <v>1</v>
      </c>
    </row>
    <row r="327" spans="1:29" x14ac:dyDescent="0.25">
      <c r="A327">
        <v>326</v>
      </c>
      <c r="B327" s="1">
        <v>45184</v>
      </c>
      <c r="C327" t="s">
        <v>354</v>
      </c>
      <c r="D327" t="s">
        <v>16</v>
      </c>
      <c r="E327">
        <v>18</v>
      </c>
      <c r="F327" t="s">
        <v>17</v>
      </c>
      <c r="G327">
        <v>3</v>
      </c>
      <c r="H327">
        <v>25</v>
      </c>
      <c r="I327">
        <v>75</v>
      </c>
      <c r="J327" t="str">
        <f t="shared" si="5"/>
        <v>18-25</v>
      </c>
      <c r="M327" s="6" t="s">
        <v>381</v>
      </c>
      <c r="N327">
        <v>500</v>
      </c>
      <c r="V327" s="6">
        <v>310</v>
      </c>
      <c r="W327">
        <v>25</v>
      </c>
      <c r="Y327" s="6">
        <v>325</v>
      </c>
      <c r="Z327">
        <v>50</v>
      </c>
      <c r="AB327" s="6">
        <v>311</v>
      </c>
      <c r="AC327">
        <v>4</v>
      </c>
    </row>
    <row r="328" spans="1:29" x14ac:dyDescent="0.25">
      <c r="A328">
        <v>327</v>
      </c>
      <c r="B328" s="1">
        <v>45198</v>
      </c>
      <c r="C328" t="s">
        <v>355</v>
      </c>
      <c r="D328" t="s">
        <v>12</v>
      </c>
      <c r="E328">
        <v>57</v>
      </c>
      <c r="F328" t="s">
        <v>20</v>
      </c>
      <c r="G328">
        <v>3</v>
      </c>
      <c r="H328">
        <v>50</v>
      </c>
      <c r="I328">
        <v>150</v>
      </c>
      <c r="J328" t="str">
        <f t="shared" si="5"/>
        <v>46-60</v>
      </c>
      <c r="M328" s="6" t="s">
        <v>567</v>
      </c>
      <c r="N328">
        <v>500</v>
      </c>
      <c r="V328" s="6">
        <v>311</v>
      </c>
      <c r="W328">
        <v>100</v>
      </c>
      <c r="Y328" s="6">
        <v>326</v>
      </c>
      <c r="Z328">
        <v>75</v>
      </c>
      <c r="AB328" s="6">
        <v>312</v>
      </c>
      <c r="AC328">
        <v>4</v>
      </c>
    </row>
    <row r="329" spans="1:29" x14ac:dyDescent="0.25">
      <c r="A329">
        <v>328</v>
      </c>
      <c r="B329" s="1">
        <v>45007</v>
      </c>
      <c r="C329" t="s">
        <v>356</v>
      </c>
      <c r="D329" t="s">
        <v>12</v>
      </c>
      <c r="E329">
        <v>39</v>
      </c>
      <c r="F329" t="s">
        <v>13</v>
      </c>
      <c r="G329">
        <v>2</v>
      </c>
      <c r="H329">
        <v>50</v>
      </c>
      <c r="I329">
        <v>100</v>
      </c>
      <c r="J329" t="str">
        <f t="shared" si="5"/>
        <v>36-45</v>
      </c>
      <c r="M329" s="6" t="s">
        <v>559</v>
      </c>
      <c r="N329">
        <v>500</v>
      </c>
      <c r="V329" s="6">
        <v>312</v>
      </c>
      <c r="W329">
        <v>120</v>
      </c>
      <c r="Y329" s="6">
        <v>327</v>
      </c>
      <c r="Z329">
        <v>150</v>
      </c>
      <c r="AB329" s="6">
        <v>313</v>
      </c>
      <c r="AC329">
        <v>3</v>
      </c>
    </row>
    <row r="330" spans="1:29" x14ac:dyDescent="0.25">
      <c r="A330">
        <v>329</v>
      </c>
      <c r="B330" s="1">
        <v>44956</v>
      </c>
      <c r="C330" t="s">
        <v>357</v>
      </c>
      <c r="D330" t="s">
        <v>16</v>
      </c>
      <c r="E330">
        <v>46</v>
      </c>
      <c r="F330" t="s">
        <v>20</v>
      </c>
      <c r="G330">
        <v>4</v>
      </c>
      <c r="H330">
        <v>25</v>
      </c>
      <c r="I330">
        <v>100</v>
      </c>
      <c r="J330" t="str">
        <f t="shared" si="5"/>
        <v>46-60</v>
      </c>
      <c r="M330" s="6" t="s">
        <v>666</v>
      </c>
      <c r="N330">
        <v>500</v>
      </c>
      <c r="V330" s="6">
        <v>313</v>
      </c>
      <c r="W330">
        <v>1500</v>
      </c>
      <c r="Y330" s="6">
        <v>328</v>
      </c>
      <c r="Z330">
        <v>100</v>
      </c>
      <c r="AB330" s="6">
        <v>314</v>
      </c>
      <c r="AC330">
        <v>4</v>
      </c>
    </row>
    <row r="331" spans="1:29" x14ac:dyDescent="0.25">
      <c r="A331">
        <v>330</v>
      </c>
      <c r="B331" s="1">
        <v>45187</v>
      </c>
      <c r="C331" t="s">
        <v>358</v>
      </c>
      <c r="D331" t="s">
        <v>16</v>
      </c>
      <c r="E331">
        <v>25</v>
      </c>
      <c r="F331" t="s">
        <v>13</v>
      </c>
      <c r="G331">
        <v>4</v>
      </c>
      <c r="H331">
        <v>50</v>
      </c>
      <c r="I331">
        <v>200</v>
      </c>
      <c r="J331" t="str">
        <f t="shared" si="5"/>
        <v>18-25</v>
      </c>
      <c r="M331" s="6" t="s">
        <v>422</v>
      </c>
      <c r="N331">
        <v>500</v>
      </c>
      <c r="V331" s="6">
        <v>314</v>
      </c>
      <c r="W331">
        <v>120</v>
      </c>
      <c r="Y331" s="6">
        <v>329</v>
      </c>
      <c r="Z331">
        <v>100</v>
      </c>
      <c r="AB331" s="6">
        <v>315</v>
      </c>
      <c r="AC331">
        <v>2</v>
      </c>
    </row>
    <row r="332" spans="1:29" x14ac:dyDescent="0.25">
      <c r="A332">
        <v>331</v>
      </c>
      <c r="B332" s="1">
        <v>44968</v>
      </c>
      <c r="C332" t="s">
        <v>359</v>
      </c>
      <c r="D332" t="s">
        <v>12</v>
      </c>
      <c r="E332">
        <v>28</v>
      </c>
      <c r="F332" t="s">
        <v>20</v>
      </c>
      <c r="G332">
        <v>3</v>
      </c>
      <c r="H332">
        <v>30</v>
      </c>
      <c r="I332">
        <v>90</v>
      </c>
      <c r="J332" t="str">
        <f t="shared" si="5"/>
        <v>26-35</v>
      </c>
      <c r="M332" s="6" t="s">
        <v>412</v>
      </c>
      <c r="N332">
        <v>500</v>
      </c>
      <c r="V332" s="6">
        <v>315</v>
      </c>
      <c r="W332">
        <v>60</v>
      </c>
      <c r="Y332" s="6">
        <v>330</v>
      </c>
      <c r="Z332">
        <v>200</v>
      </c>
      <c r="AB332" s="6">
        <v>316</v>
      </c>
      <c r="AC332">
        <v>2</v>
      </c>
    </row>
    <row r="333" spans="1:29" x14ac:dyDescent="0.25">
      <c r="A333">
        <v>332</v>
      </c>
      <c r="B333" s="1">
        <v>45022</v>
      </c>
      <c r="C333" t="s">
        <v>360</v>
      </c>
      <c r="D333" t="s">
        <v>12</v>
      </c>
      <c r="E333">
        <v>58</v>
      </c>
      <c r="F333" t="s">
        <v>20</v>
      </c>
      <c r="G333">
        <v>4</v>
      </c>
      <c r="H333">
        <v>300</v>
      </c>
      <c r="I333">
        <v>1200</v>
      </c>
      <c r="J333" t="str">
        <f t="shared" si="5"/>
        <v>46-60</v>
      </c>
      <c r="M333" s="6" t="s">
        <v>640</v>
      </c>
      <c r="N333">
        <v>500</v>
      </c>
      <c r="V333" s="6">
        <v>316</v>
      </c>
      <c r="W333">
        <v>50</v>
      </c>
      <c r="Y333" s="6">
        <v>331</v>
      </c>
      <c r="Z333">
        <v>90</v>
      </c>
      <c r="AB333" s="6">
        <v>317</v>
      </c>
      <c r="AC333">
        <v>3</v>
      </c>
    </row>
    <row r="334" spans="1:29" x14ac:dyDescent="0.25">
      <c r="A334">
        <v>333</v>
      </c>
      <c r="B334" s="1">
        <v>44962</v>
      </c>
      <c r="C334" t="s">
        <v>361</v>
      </c>
      <c r="D334" t="s">
        <v>16</v>
      </c>
      <c r="E334">
        <v>54</v>
      </c>
      <c r="F334" t="s">
        <v>20</v>
      </c>
      <c r="G334">
        <v>4</v>
      </c>
      <c r="H334">
        <v>300</v>
      </c>
      <c r="I334">
        <v>1200</v>
      </c>
      <c r="J334" t="str">
        <f t="shared" si="5"/>
        <v>46-60</v>
      </c>
      <c r="M334" s="6" t="s">
        <v>683</v>
      </c>
      <c r="N334">
        <v>500</v>
      </c>
      <c r="V334" s="6">
        <v>317</v>
      </c>
      <c r="W334">
        <v>90</v>
      </c>
      <c r="Y334" s="6">
        <v>332</v>
      </c>
      <c r="Z334">
        <v>1200</v>
      </c>
      <c r="AB334" s="6">
        <v>318</v>
      </c>
      <c r="AC334">
        <v>1</v>
      </c>
    </row>
    <row r="335" spans="1:29" x14ac:dyDescent="0.25">
      <c r="A335">
        <v>334</v>
      </c>
      <c r="B335" s="1">
        <v>45231</v>
      </c>
      <c r="C335" t="s">
        <v>362</v>
      </c>
      <c r="D335" t="s">
        <v>12</v>
      </c>
      <c r="E335">
        <v>31</v>
      </c>
      <c r="F335" t="s">
        <v>20</v>
      </c>
      <c r="G335">
        <v>3</v>
      </c>
      <c r="H335">
        <v>300</v>
      </c>
      <c r="I335">
        <v>900</v>
      </c>
      <c r="J335" t="str">
        <f t="shared" si="5"/>
        <v>26-35</v>
      </c>
      <c r="M335" s="6" t="s">
        <v>436</v>
      </c>
      <c r="N335">
        <v>500</v>
      </c>
      <c r="V335" s="6">
        <v>318</v>
      </c>
      <c r="W335">
        <v>25</v>
      </c>
      <c r="Y335" s="6">
        <v>333</v>
      </c>
      <c r="Z335">
        <v>1200</v>
      </c>
      <c r="AB335" s="6">
        <v>319</v>
      </c>
      <c r="AC335">
        <v>1</v>
      </c>
    </row>
    <row r="336" spans="1:29" x14ac:dyDescent="0.25">
      <c r="A336">
        <v>335</v>
      </c>
      <c r="B336" s="1">
        <v>44961</v>
      </c>
      <c r="C336" t="s">
        <v>363</v>
      </c>
      <c r="D336" t="s">
        <v>16</v>
      </c>
      <c r="E336">
        <v>47</v>
      </c>
      <c r="F336" t="s">
        <v>13</v>
      </c>
      <c r="G336">
        <v>4</v>
      </c>
      <c r="H336">
        <v>30</v>
      </c>
      <c r="I336">
        <v>120</v>
      </c>
      <c r="J336" t="str">
        <f t="shared" si="5"/>
        <v>46-60</v>
      </c>
      <c r="M336" s="6" t="s">
        <v>565</v>
      </c>
      <c r="N336">
        <v>500</v>
      </c>
      <c r="V336" s="6">
        <v>319</v>
      </c>
      <c r="W336">
        <v>500</v>
      </c>
      <c r="Y336" s="6">
        <v>334</v>
      </c>
      <c r="Z336">
        <v>900</v>
      </c>
      <c r="AB336" s="6">
        <v>320</v>
      </c>
      <c r="AC336">
        <v>4</v>
      </c>
    </row>
    <row r="337" spans="1:29" x14ac:dyDescent="0.25">
      <c r="A337">
        <v>336</v>
      </c>
      <c r="B337" s="1">
        <v>45272</v>
      </c>
      <c r="C337" t="s">
        <v>364</v>
      </c>
      <c r="D337" t="s">
        <v>16</v>
      </c>
      <c r="E337">
        <v>52</v>
      </c>
      <c r="F337" t="s">
        <v>13</v>
      </c>
      <c r="G337">
        <v>3</v>
      </c>
      <c r="H337">
        <v>50</v>
      </c>
      <c r="I337">
        <v>150</v>
      </c>
      <c r="J337" t="str">
        <f t="shared" si="5"/>
        <v>46-60</v>
      </c>
      <c r="M337" s="6" t="s">
        <v>695</v>
      </c>
      <c r="N337">
        <v>500</v>
      </c>
      <c r="V337" s="6">
        <v>320</v>
      </c>
      <c r="W337">
        <v>1200</v>
      </c>
      <c r="Y337" s="6">
        <v>335</v>
      </c>
      <c r="Z337">
        <v>120</v>
      </c>
      <c r="AB337" s="6">
        <v>321</v>
      </c>
      <c r="AC337">
        <v>2</v>
      </c>
    </row>
    <row r="338" spans="1:29" x14ac:dyDescent="0.25">
      <c r="A338">
        <v>337</v>
      </c>
      <c r="B338" s="1">
        <v>45047</v>
      </c>
      <c r="C338" t="s">
        <v>365</v>
      </c>
      <c r="D338" t="s">
        <v>12</v>
      </c>
      <c r="E338">
        <v>38</v>
      </c>
      <c r="F338" t="s">
        <v>17</v>
      </c>
      <c r="G338">
        <v>1</v>
      </c>
      <c r="H338">
        <v>500</v>
      </c>
      <c r="I338">
        <v>500</v>
      </c>
      <c r="J338" t="str">
        <f t="shared" si="5"/>
        <v>36-45</v>
      </c>
      <c r="M338" s="6" t="s">
        <v>133</v>
      </c>
      <c r="N338">
        <v>500</v>
      </c>
      <c r="V338" s="6">
        <v>321</v>
      </c>
      <c r="W338">
        <v>50</v>
      </c>
      <c r="Y338" s="6">
        <v>336</v>
      </c>
      <c r="Z338">
        <v>150</v>
      </c>
      <c r="AB338" s="6">
        <v>322</v>
      </c>
      <c r="AC338">
        <v>1</v>
      </c>
    </row>
    <row r="339" spans="1:29" x14ac:dyDescent="0.25">
      <c r="A339">
        <v>338</v>
      </c>
      <c r="B339" s="1">
        <v>45133</v>
      </c>
      <c r="C339" t="s">
        <v>366</v>
      </c>
      <c r="D339" t="s">
        <v>12</v>
      </c>
      <c r="E339">
        <v>54</v>
      </c>
      <c r="F339" t="s">
        <v>13</v>
      </c>
      <c r="G339">
        <v>2</v>
      </c>
      <c r="H339">
        <v>50</v>
      </c>
      <c r="I339">
        <v>100</v>
      </c>
      <c r="J339" t="str">
        <f t="shared" si="5"/>
        <v>46-60</v>
      </c>
      <c r="M339" s="6" t="s">
        <v>347</v>
      </c>
      <c r="N339">
        <v>500</v>
      </c>
      <c r="V339" s="6">
        <v>322</v>
      </c>
      <c r="W339">
        <v>500</v>
      </c>
      <c r="Y339" s="6">
        <v>337</v>
      </c>
      <c r="Z339">
        <v>500</v>
      </c>
      <c r="AB339" s="6">
        <v>323</v>
      </c>
      <c r="AC339">
        <v>3</v>
      </c>
    </row>
    <row r="340" spans="1:29" x14ac:dyDescent="0.25">
      <c r="A340">
        <v>339</v>
      </c>
      <c r="B340" s="1">
        <v>44988</v>
      </c>
      <c r="C340" t="s">
        <v>367</v>
      </c>
      <c r="D340" t="s">
        <v>16</v>
      </c>
      <c r="E340">
        <v>22</v>
      </c>
      <c r="F340" t="s">
        <v>20</v>
      </c>
      <c r="G340">
        <v>2</v>
      </c>
      <c r="H340">
        <v>25</v>
      </c>
      <c r="I340">
        <v>50</v>
      </c>
      <c r="J340" t="str">
        <f t="shared" si="5"/>
        <v>18-25</v>
      </c>
      <c r="M340" s="6" t="s">
        <v>119</v>
      </c>
      <c r="N340">
        <v>500</v>
      </c>
      <c r="V340" s="6">
        <v>323</v>
      </c>
      <c r="W340">
        <v>900</v>
      </c>
      <c r="Y340" s="6">
        <v>338</v>
      </c>
      <c r="Z340">
        <v>100</v>
      </c>
      <c r="AB340" s="6">
        <v>324</v>
      </c>
      <c r="AC340">
        <v>3</v>
      </c>
    </row>
    <row r="341" spans="1:29" x14ac:dyDescent="0.25">
      <c r="A341">
        <v>340</v>
      </c>
      <c r="B341" s="1">
        <v>45218</v>
      </c>
      <c r="C341" t="s">
        <v>368</v>
      </c>
      <c r="D341" t="s">
        <v>16</v>
      </c>
      <c r="E341">
        <v>36</v>
      </c>
      <c r="F341" t="s">
        <v>17</v>
      </c>
      <c r="G341">
        <v>4</v>
      </c>
      <c r="H341">
        <v>300</v>
      </c>
      <c r="I341">
        <v>1200</v>
      </c>
      <c r="J341" t="str">
        <f t="shared" si="5"/>
        <v>36-45</v>
      </c>
      <c r="M341" s="6" t="s">
        <v>311</v>
      </c>
      <c r="N341">
        <v>500</v>
      </c>
      <c r="V341" s="6">
        <v>324</v>
      </c>
      <c r="W341">
        <v>150</v>
      </c>
      <c r="Y341" s="6">
        <v>339</v>
      </c>
      <c r="Z341">
        <v>50</v>
      </c>
      <c r="AB341" s="6">
        <v>325</v>
      </c>
      <c r="AC341">
        <v>2</v>
      </c>
    </row>
    <row r="342" spans="1:29" x14ac:dyDescent="0.25">
      <c r="A342">
        <v>341</v>
      </c>
      <c r="B342" s="1">
        <v>45053</v>
      </c>
      <c r="C342" t="s">
        <v>369</v>
      </c>
      <c r="D342" t="s">
        <v>12</v>
      </c>
      <c r="E342">
        <v>31</v>
      </c>
      <c r="F342" t="s">
        <v>17</v>
      </c>
      <c r="G342">
        <v>4</v>
      </c>
      <c r="H342">
        <v>50</v>
      </c>
      <c r="I342">
        <v>200</v>
      </c>
      <c r="J342" t="str">
        <f t="shared" si="5"/>
        <v>26-35</v>
      </c>
      <c r="M342" s="6" t="s">
        <v>350</v>
      </c>
      <c r="N342">
        <v>500</v>
      </c>
      <c r="V342" s="6">
        <v>325</v>
      </c>
      <c r="W342">
        <v>50</v>
      </c>
      <c r="Y342" s="6">
        <v>340</v>
      </c>
      <c r="Z342">
        <v>1200</v>
      </c>
      <c r="AB342" s="6">
        <v>326</v>
      </c>
      <c r="AC342">
        <v>3</v>
      </c>
    </row>
    <row r="343" spans="1:29" x14ac:dyDescent="0.25">
      <c r="A343">
        <v>342</v>
      </c>
      <c r="B343" s="1">
        <v>45223</v>
      </c>
      <c r="C343" t="s">
        <v>370</v>
      </c>
      <c r="D343" t="s">
        <v>16</v>
      </c>
      <c r="E343">
        <v>43</v>
      </c>
      <c r="F343" t="s">
        <v>17</v>
      </c>
      <c r="G343">
        <v>4</v>
      </c>
      <c r="H343">
        <v>500</v>
      </c>
      <c r="I343">
        <v>2000</v>
      </c>
      <c r="J343" t="str">
        <f t="shared" si="5"/>
        <v>36-45</v>
      </c>
      <c r="M343" s="6" t="s">
        <v>266</v>
      </c>
      <c r="N343">
        <v>500</v>
      </c>
      <c r="V343" s="6">
        <v>326</v>
      </c>
      <c r="W343">
        <v>75</v>
      </c>
      <c r="Y343" s="6">
        <v>341</v>
      </c>
      <c r="Z343">
        <v>200</v>
      </c>
      <c r="AB343" s="6">
        <v>327</v>
      </c>
      <c r="AC343">
        <v>3</v>
      </c>
    </row>
    <row r="344" spans="1:29" x14ac:dyDescent="0.25">
      <c r="A344">
        <v>343</v>
      </c>
      <c r="B344" s="1">
        <v>45231</v>
      </c>
      <c r="C344" t="s">
        <v>371</v>
      </c>
      <c r="D344" t="s">
        <v>12</v>
      </c>
      <c r="E344">
        <v>21</v>
      </c>
      <c r="F344" t="s">
        <v>20</v>
      </c>
      <c r="G344">
        <v>2</v>
      </c>
      <c r="H344">
        <v>25</v>
      </c>
      <c r="I344">
        <v>50</v>
      </c>
      <c r="J344" t="str">
        <f t="shared" si="5"/>
        <v>18-25</v>
      </c>
      <c r="M344" s="6" t="s">
        <v>56</v>
      </c>
      <c r="N344">
        <v>500</v>
      </c>
      <c r="V344" s="6">
        <v>327</v>
      </c>
      <c r="W344">
        <v>150</v>
      </c>
      <c r="Y344" s="6">
        <v>342</v>
      </c>
      <c r="Z344">
        <v>2000</v>
      </c>
      <c r="AB344" s="6">
        <v>328</v>
      </c>
      <c r="AC344">
        <v>2</v>
      </c>
    </row>
    <row r="345" spans="1:29" x14ac:dyDescent="0.25">
      <c r="A345">
        <v>344</v>
      </c>
      <c r="B345" s="1">
        <v>44947</v>
      </c>
      <c r="C345" t="s">
        <v>372</v>
      </c>
      <c r="D345" t="s">
        <v>16</v>
      </c>
      <c r="E345">
        <v>42</v>
      </c>
      <c r="F345" t="s">
        <v>13</v>
      </c>
      <c r="G345">
        <v>1</v>
      </c>
      <c r="H345">
        <v>30</v>
      </c>
      <c r="I345">
        <v>30</v>
      </c>
      <c r="J345" t="str">
        <f t="shared" si="5"/>
        <v>36-45</v>
      </c>
      <c r="M345" s="6" t="s">
        <v>282</v>
      </c>
      <c r="N345">
        <v>500</v>
      </c>
      <c r="V345" s="6">
        <v>328</v>
      </c>
      <c r="W345">
        <v>100</v>
      </c>
      <c r="Y345" s="6">
        <v>343</v>
      </c>
      <c r="Z345">
        <v>50</v>
      </c>
      <c r="AB345" s="6">
        <v>329</v>
      </c>
      <c r="AC345">
        <v>4</v>
      </c>
    </row>
    <row r="346" spans="1:29" x14ac:dyDescent="0.25">
      <c r="A346">
        <v>345</v>
      </c>
      <c r="B346" s="1">
        <v>45244</v>
      </c>
      <c r="C346" t="s">
        <v>373</v>
      </c>
      <c r="D346" t="s">
        <v>12</v>
      </c>
      <c r="E346">
        <v>62</v>
      </c>
      <c r="F346" t="s">
        <v>20</v>
      </c>
      <c r="G346">
        <v>1</v>
      </c>
      <c r="H346">
        <v>30</v>
      </c>
      <c r="I346">
        <v>30</v>
      </c>
      <c r="J346" t="b">
        <f t="shared" si="5"/>
        <v>0</v>
      </c>
      <c r="M346" s="6" t="s">
        <v>158</v>
      </c>
      <c r="N346">
        <v>500</v>
      </c>
      <c r="V346" s="6">
        <v>329</v>
      </c>
      <c r="W346">
        <v>100</v>
      </c>
      <c r="Y346" s="6">
        <v>344</v>
      </c>
      <c r="Z346">
        <v>30</v>
      </c>
      <c r="AB346" s="6">
        <v>330</v>
      </c>
      <c r="AC346">
        <v>4</v>
      </c>
    </row>
    <row r="347" spans="1:29" x14ac:dyDescent="0.25">
      <c r="A347">
        <v>346</v>
      </c>
      <c r="B347" s="1">
        <v>44968</v>
      </c>
      <c r="C347" t="s">
        <v>374</v>
      </c>
      <c r="D347" t="s">
        <v>12</v>
      </c>
      <c r="E347">
        <v>59</v>
      </c>
      <c r="F347" t="s">
        <v>17</v>
      </c>
      <c r="G347">
        <v>2</v>
      </c>
      <c r="H347">
        <v>500</v>
      </c>
      <c r="I347">
        <v>1000</v>
      </c>
      <c r="J347" t="str">
        <f t="shared" si="5"/>
        <v>46-60</v>
      </c>
      <c r="M347" s="6" t="s">
        <v>248</v>
      </c>
      <c r="N347">
        <v>500</v>
      </c>
      <c r="V347" s="6">
        <v>330</v>
      </c>
      <c r="W347">
        <v>200</v>
      </c>
      <c r="Y347" s="6">
        <v>345</v>
      </c>
      <c r="Z347">
        <v>30</v>
      </c>
      <c r="AB347" s="6">
        <v>331</v>
      </c>
      <c r="AC347">
        <v>3</v>
      </c>
    </row>
    <row r="348" spans="1:29" x14ac:dyDescent="0.25">
      <c r="A348">
        <v>347</v>
      </c>
      <c r="B348" s="1">
        <v>45141</v>
      </c>
      <c r="C348" t="s">
        <v>375</v>
      </c>
      <c r="D348" t="s">
        <v>12</v>
      </c>
      <c r="E348">
        <v>42</v>
      </c>
      <c r="F348" t="s">
        <v>20</v>
      </c>
      <c r="G348">
        <v>1</v>
      </c>
      <c r="H348">
        <v>25</v>
      </c>
      <c r="I348">
        <v>25</v>
      </c>
      <c r="J348" t="str">
        <f t="shared" si="5"/>
        <v>36-45</v>
      </c>
      <c r="M348" s="6" t="s">
        <v>47</v>
      </c>
      <c r="N348">
        <v>500</v>
      </c>
      <c r="V348" s="6">
        <v>331</v>
      </c>
      <c r="W348">
        <v>90</v>
      </c>
      <c r="Y348" s="6">
        <v>346</v>
      </c>
      <c r="Z348">
        <v>1000</v>
      </c>
      <c r="AB348" s="6">
        <v>332</v>
      </c>
      <c r="AC348">
        <v>4</v>
      </c>
    </row>
    <row r="349" spans="1:29" x14ac:dyDescent="0.25">
      <c r="A349">
        <v>348</v>
      </c>
      <c r="B349" s="1">
        <v>45263</v>
      </c>
      <c r="C349" t="s">
        <v>376</v>
      </c>
      <c r="D349" t="s">
        <v>16</v>
      </c>
      <c r="E349">
        <v>35</v>
      </c>
      <c r="F349" t="s">
        <v>20</v>
      </c>
      <c r="G349">
        <v>2</v>
      </c>
      <c r="H349">
        <v>300</v>
      </c>
      <c r="I349">
        <v>600</v>
      </c>
      <c r="J349" t="str">
        <f t="shared" si="5"/>
        <v>26-35</v>
      </c>
      <c r="M349" s="6" t="s">
        <v>156</v>
      </c>
      <c r="N349">
        <v>500</v>
      </c>
      <c r="V349" s="6">
        <v>332</v>
      </c>
      <c r="W349">
        <v>1200</v>
      </c>
      <c r="Y349" s="6">
        <v>347</v>
      </c>
      <c r="Z349">
        <v>25</v>
      </c>
      <c r="AB349" s="6">
        <v>333</v>
      </c>
      <c r="AC349">
        <v>4</v>
      </c>
    </row>
    <row r="350" spans="1:29" x14ac:dyDescent="0.25">
      <c r="A350">
        <v>349</v>
      </c>
      <c r="B350" s="1">
        <v>45225</v>
      </c>
      <c r="C350" t="s">
        <v>377</v>
      </c>
      <c r="D350" t="s">
        <v>16</v>
      </c>
      <c r="E350">
        <v>57</v>
      </c>
      <c r="F350" t="s">
        <v>13</v>
      </c>
      <c r="G350">
        <v>1</v>
      </c>
      <c r="H350">
        <v>50</v>
      </c>
      <c r="I350">
        <v>50</v>
      </c>
      <c r="J350" t="str">
        <f t="shared" si="5"/>
        <v>46-60</v>
      </c>
      <c r="M350" s="6" t="s">
        <v>116</v>
      </c>
      <c r="N350">
        <v>500</v>
      </c>
      <c r="V350" s="6">
        <v>333</v>
      </c>
      <c r="W350">
        <v>1200</v>
      </c>
      <c r="Y350" s="6">
        <v>348</v>
      </c>
      <c r="Z350">
        <v>600</v>
      </c>
      <c r="AB350" s="6">
        <v>334</v>
      </c>
      <c r="AC350">
        <v>3</v>
      </c>
    </row>
    <row r="351" spans="1:29" x14ac:dyDescent="0.25">
      <c r="A351">
        <v>350</v>
      </c>
      <c r="B351" s="1">
        <v>45216</v>
      </c>
      <c r="C351" t="s">
        <v>378</v>
      </c>
      <c r="D351" t="s">
        <v>12</v>
      </c>
      <c r="E351">
        <v>25</v>
      </c>
      <c r="F351" t="s">
        <v>13</v>
      </c>
      <c r="G351">
        <v>3</v>
      </c>
      <c r="H351">
        <v>25</v>
      </c>
      <c r="I351">
        <v>75</v>
      </c>
      <c r="J351" t="str">
        <f t="shared" si="5"/>
        <v>18-25</v>
      </c>
      <c r="M351" s="6" t="s">
        <v>307</v>
      </c>
      <c r="N351">
        <v>500</v>
      </c>
      <c r="V351" s="6">
        <v>334</v>
      </c>
      <c r="W351">
        <v>900</v>
      </c>
      <c r="Y351" s="6">
        <v>349</v>
      </c>
      <c r="Z351">
        <v>50</v>
      </c>
      <c r="AB351" s="6">
        <v>335</v>
      </c>
      <c r="AC351">
        <v>4</v>
      </c>
    </row>
    <row r="352" spans="1:29" x14ac:dyDescent="0.25">
      <c r="A352">
        <v>351</v>
      </c>
      <c r="B352" s="1">
        <v>45194</v>
      </c>
      <c r="C352" t="s">
        <v>379</v>
      </c>
      <c r="D352" t="s">
        <v>16</v>
      </c>
      <c r="E352">
        <v>56</v>
      </c>
      <c r="F352" t="s">
        <v>17</v>
      </c>
      <c r="G352">
        <v>3</v>
      </c>
      <c r="H352">
        <v>30</v>
      </c>
      <c r="I352">
        <v>90</v>
      </c>
      <c r="J352" t="str">
        <f t="shared" si="5"/>
        <v>46-60</v>
      </c>
      <c r="M352" s="6" t="s">
        <v>21</v>
      </c>
      <c r="N352">
        <v>500</v>
      </c>
      <c r="V352" s="6">
        <v>335</v>
      </c>
      <c r="W352">
        <v>120</v>
      </c>
      <c r="Y352" s="6">
        <v>350</v>
      </c>
      <c r="Z352">
        <v>75</v>
      </c>
      <c r="AB352" s="6">
        <v>336</v>
      </c>
      <c r="AC352">
        <v>3</v>
      </c>
    </row>
    <row r="353" spans="1:29" x14ac:dyDescent="0.25">
      <c r="A353">
        <v>352</v>
      </c>
      <c r="B353" s="1">
        <v>45088</v>
      </c>
      <c r="C353" t="s">
        <v>380</v>
      </c>
      <c r="D353" t="s">
        <v>12</v>
      </c>
      <c r="E353">
        <v>57</v>
      </c>
      <c r="F353" t="s">
        <v>20</v>
      </c>
      <c r="G353">
        <v>2</v>
      </c>
      <c r="H353">
        <v>500</v>
      </c>
      <c r="I353">
        <v>1000</v>
      </c>
      <c r="J353" t="str">
        <f t="shared" si="5"/>
        <v>46-60</v>
      </c>
      <c r="M353" s="6" t="s">
        <v>849</v>
      </c>
      <c r="N353">
        <v>300</v>
      </c>
      <c r="V353" s="6">
        <v>336</v>
      </c>
      <c r="W353">
        <v>150</v>
      </c>
      <c r="Y353" s="6">
        <v>351</v>
      </c>
      <c r="Z353">
        <v>90</v>
      </c>
      <c r="AB353" s="6">
        <v>337</v>
      </c>
      <c r="AC353">
        <v>1</v>
      </c>
    </row>
    <row r="354" spans="1:29" x14ac:dyDescent="0.25">
      <c r="A354">
        <v>353</v>
      </c>
      <c r="B354" s="1">
        <v>45060</v>
      </c>
      <c r="C354" t="s">
        <v>381</v>
      </c>
      <c r="D354" t="s">
        <v>12</v>
      </c>
      <c r="E354">
        <v>31</v>
      </c>
      <c r="F354" t="s">
        <v>20</v>
      </c>
      <c r="G354">
        <v>1</v>
      </c>
      <c r="H354">
        <v>500</v>
      </c>
      <c r="I354">
        <v>500</v>
      </c>
      <c r="J354" t="str">
        <f t="shared" si="5"/>
        <v>26-35</v>
      </c>
      <c r="M354" s="6" t="s">
        <v>893</v>
      </c>
      <c r="N354">
        <v>300</v>
      </c>
      <c r="V354" s="6">
        <v>337</v>
      </c>
      <c r="W354">
        <v>500</v>
      </c>
      <c r="Y354" s="6">
        <v>352</v>
      </c>
      <c r="Z354">
        <v>1000</v>
      </c>
      <c r="AB354" s="6">
        <v>338</v>
      </c>
      <c r="AC354">
        <v>2</v>
      </c>
    </row>
    <row r="355" spans="1:29" x14ac:dyDescent="0.25">
      <c r="A355">
        <v>354</v>
      </c>
      <c r="B355" s="1">
        <v>45031</v>
      </c>
      <c r="C355" t="s">
        <v>382</v>
      </c>
      <c r="D355" t="s">
        <v>16</v>
      </c>
      <c r="E355">
        <v>49</v>
      </c>
      <c r="F355" t="s">
        <v>13</v>
      </c>
      <c r="G355">
        <v>4</v>
      </c>
      <c r="H355">
        <v>50</v>
      </c>
      <c r="I355">
        <v>200</v>
      </c>
      <c r="J355" t="str">
        <f t="shared" si="5"/>
        <v>46-60</v>
      </c>
      <c r="M355" s="6" t="s">
        <v>726</v>
      </c>
      <c r="N355">
        <v>300</v>
      </c>
      <c r="V355" s="6">
        <v>338</v>
      </c>
      <c r="W355">
        <v>100</v>
      </c>
      <c r="Y355" s="6">
        <v>353</v>
      </c>
      <c r="Z355">
        <v>500</v>
      </c>
      <c r="AB355" s="6">
        <v>339</v>
      </c>
      <c r="AC355">
        <v>2</v>
      </c>
    </row>
    <row r="356" spans="1:29" x14ac:dyDescent="0.25">
      <c r="A356">
        <v>355</v>
      </c>
      <c r="B356" s="1">
        <v>45269</v>
      </c>
      <c r="C356" t="s">
        <v>383</v>
      </c>
      <c r="D356" t="s">
        <v>16</v>
      </c>
      <c r="E356">
        <v>55</v>
      </c>
      <c r="F356" t="s">
        <v>20</v>
      </c>
      <c r="G356">
        <v>1</v>
      </c>
      <c r="H356">
        <v>500</v>
      </c>
      <c r="I356">
        <v>500</v>
      </c>
      <c r="J356" t="str">
        <f t="shared" si="5"/>
        <v>46-60</v>
      </c>
      <c r="M356" s="6" t="s">
        <v>933</v>
      </c>
      <c r="N356">
        <v>300</v>
      </c>
      <c r="V356" s="6">
        <v>339</v>
      </c>
      <c r="W356">
        <v>50</v>
      </c>
      <c r="Y356" s="6">
        <v>354</v>
      </c>
      <c r="Z356">
        <v>200</v>
      </c>
      <c r="AB356" s="6">
        <v>340</v>
      </c>
      <c r="AC356">
        <v>4</v>
      </c>
    </row>
    <row r="357" spans="1:29" x14ac:dyDescent="0.25">
      <c r="A357">
        <v>356</v>
      </c>
      <c r="B357" s="1">
        <v>45087</v>
      </c>
      <c r="C357" t="s">
        <v>384</v>
      </c>
      <c r="D357" t="s">
        <v>12</v>
      </c>
      <c r="E357">
        <v>50</v>
      </c>
      <c r="F357" t="s">
        <v>20</v>
      </c>
      <c r="G357">
        <v>3</v>
      </c>
      <c r="H357">
        <v>500</v>
      </c>
      <c r="I357">
        <v>1500</v>
      </c>
      <c r="J357" t="str">
        <f t="shared" si="5"/>
        <v>46-60</v>
      </c>
      <c r="M357" s="6" t="s">
        <v>715</v>
      </c>
      <c r="N357">
        <v>300</v>
      </c>
      <c r="V357" s="6">
        <v>340</v>
      </c>
      <c r="W357">
        <v>1200</v>
      </c>
      <c r="Y357" s="6">
        <v>355</v>
      </c>
      <c r="Z357">
        <v>500</v>
      </c>
      <c r="AB357" s="6">
        <v>341</v>
      </c>
      <c r="AC357">
        <v>4</v>
      </c>
    </row>
    <row r="358" spans="1:29" x14ac:dyDescent="0.25">
      <c r="A358">
        <v>357</v>
      </c>
      <c r="B358" s="1">
        <v>45049</v>
      </c>
      <c r="C358" t="s">
        <v>385</v>
      </c>
      <c r="D358" t="s">
        <v>16</v>
      </c>
      <c r="E358">
        <v>40</v>
      </c>
      <c r="F358" t="s">
        <v>20</v>
      </c>
      <c r="G358">
        <v>3</v>
      </c>
      <c r="H358">
        <v>25</v>
      </c>
      <c r="I358">
        <v>75</v>
      </c>
      <c r="J358" t="str">
        <f t="shared" si="5"/>
        <v>36-45</v>
      </c>
      <c r="M358" s="6" t="s">
        <v>937</v>
      </c>
      <c r="N358">
        <v>300</v>
      </c>
      <c r="V358" s="6">
        <v>341</v>
      </c>
      <c r="W358">
        <v>200</v>
      </c>
      <c r="Y358" s="6">
        <v>356</v>
      </c>
      <c r="Z358">
        <v>1500</v>
      </c>
      <c r="AB358" s="6">
        <v>342</v>
      </c>
      <c r="AC358">
        <v>4</v>
      </c>
    </row>
    <row r="359" spans="1:29" x14ac:dyDescent="0.25">
      <c r="A359">
        <v>358</v>
      </c>
      <c r="B359" s="1">
        <v>45062</v>
      </c>
      <c r="C359" t="s">
        <v>386</v>
      </c>
      <c r="D359" t="s">
        <v>16</v>
      </c>
      <c r="E359">
        <v>32</v>
      </c>
      <c r="F359" t="s">
        <v>13</v>
      </c>
      <c r="G359">
        <v>1</v>
      </c>
      <c r="H359">
        <v>300</v>
      </c>
      <c r="I359">
        <v>300</v>
      </c>
      <c r="J359" t="str">
        <f t="shared" si="5"/>
        <v>26-35</v>
      </c>
      <c r="M359" s="6" t="s">
        <v>1011</v>
      </c>
      <c r="N359">
        <v>300</v>
      </c>
      <c r="V359" s="6">
        <v>342</v>
      </c>
      <c r="W359">
        <v>2000</v>
      </c>
      <c r="Y359" s="6">
        <v>357</v>
      </c>
      <c r="Z359">
        <v>75</v>
      </c>
      <c r="AB359" s="6">
        <v>343</v>
      </c>
      <c r="AC359">
        <v>2</v>
      </c>
    </row>
    <row r="360" spans="1:29" x14ac:dyDescent="0.25">
      <c r="A360">
        <v>359</v>
      </c>
      <c r="B360" s="1">
        <v>45129</v>
      </c>
      <c r="C360" t="s">
        <v>387</v>
      </c>
      <c r="D360" t="s">
        <v>12</v>
      </c>
      <c r="E360">
        <v>50</v>
      </c>
      <c r="F360" t="s">
        <v>17</v>
      </c>
      <c r="G360">
        <v>1</v>
      </c>
      <c r="H360">
        <v>50</v>
      </c>
      <c r="I360">
        <v>50</v>
      </c>
      <c r="J360" t="str">
        <f t="shared" si="5"/>
        <v>46-60</v>
      </c>
      <c r="M360" s="6" t="s">
        <v>822</v>
      </c>
      <c r="N360">
        <v>300</v>
      </c>
      <c r="V360" s="6">
        <v>343</v>
      </c>
      <c r="W360">
        <v>50</v>
      </c>
      <c r="Y360" s="6">
        <v>358</v>
      </c>
      <c r="Z360">
        <v>300</v>
      </c>
      <c r="AB360" s="6">
        <v>344</v>
      </c>
      <c r="AC360">
        <v>1</v>
      </c>
    </row>
    <row r="361" spans="1:29" x14ac:dyDescent="0.25">
      <c r="A361">
        <v>360</v>
      </c>
      <c r="B361" s="1">
        <v>44994</v>
      </c>
      <c r="C361" t="s">
        <v>388</v>
      </c>
      <c r="D361" t="s">
        <v>12</v>
      </c>
      <c r="E361">
        <v>42</v>
      </c>
      <c r="F361" t="s">
        <v>17</v>
      </c>
      <c r="G361">
        <v>4</v>
      </c>
      <c r="H361">
        <v>25</v>
      </c>
      <c r="I361">
        <v>100</v>
      </c>
      <c r="J361" t="str">
        <f t="shared" si="5"/>
        <v>36-45</v>
      </c>
      <c r="M361" s="6" t="s">
        <v>753</v>
      </c>
      <c r="N361">
        <v>300</v>
      </c>
      <c r="V361" s="6">
        <v>344</v>
      </c>
      <c r="W361">
        <v>30</v>
      </c>
      <c r="Y361" s="6">
        <v>359</v>
      </c>
      <c r="Z361">
        <v>50</v>
      </c>
      <c r="AB361" s="6">
        <v>345</v>
      </c>
      <c r="AC361">
        <v>1</v>
      </c>
    </row>
    <row r="362" spans="1:29" x14ac:dyDescent="0.25">
      <c r="A362">
        <v>361</v>
      </c>
      <c r="B362" s="1">
        <v>45270</v>
      </c>
      <c r="C362" t="s">
        <v>389</v>
      </c>
      <c r="D362" t="s">
        <v>16</v>
      </c>
      <c r="E362">
        <v>34</v>
      </c>
      <c r="F362" t="s">
        <v>20</v>
      </c>
      <c r="G362">
        <v>4</v>
      </c>
      <c r="H362">
        <v>300</v>
      </c>
      <c r="I362">
        <v>1200</v>
      </c>
      <c r="J362" t="str">
        <f t="shared" si="5"/>
        <v>26-35</v>
      </c>
      <c r="M362" s="6" t="s">
        <v>823</v>
      </c>
      <c r="N362">
        <v>300</v>
      </c>
      <c r="V362" s="6">
        <v>345</v>
      </c>
      <c r="W362">
        <v>30</v>
      </c>
      <c r="Y362" s="6">
        <v>360</v>
      </c>
      <c r="Z362">
        <v>100</v>
      </c>
      <c r="AB362" s="6">
        <v>346</v>
      </c>
      <c r="AC362">
        <v>2</v>
      </c>
    </row>
    <row r="363" spans="1:29" x14ac:dyDescent="0.25">
      <c r="A363">
        <v>362</v>
      </c>
      <c r="B363" s="1">
        <v>45257</v>
      </c>
      <c r="C363" t="s">
        <v>390</v>
      </c>
      <c r="D363" t="s">
        <v>12</v>
      </c>
      <c r="E363">
        <v>50</v>
      </c>
      <c r="F363" t="s">
        <v>17</v>
      </c>
      <c r="G363">
        <v>1</v>
      </c>
      <c r="H363">
        <v>25</v>
      </c>
      <c r="I363">
        <v>25</v>
      </c>
      <c r="J363" t="str">
        <f t="shared" si="5"/>
        <v>46-60</v>
      </c>
      <c r="M363" s="6" t="s">
        <v>896</v>
      </c>
      <c r="N363">
        <v>300</v>
      </c>
      <c r="V363" s="6">
        <v>346</v>
      </c>
      <c r="W363">
        <v>1000</v>
      </c>
      <c r="Y363" s="6">
        <v>361</v>
      </c>
      <c r="Z363">
        <v>1200</v>
      </c>
      <c r="AB363" s="6">
        <v>347</v>
      </c>
      <c r="AC363">
        <v>1</v>
      </c>
    </row>
    <row r="364" spans="1:29" x14ac:dyDescent="0.25">
      <c r="A364">
        <v>363</v>
      </c>
      <c r="B364" s="1">
        <v>45080</v>
      </c>
      <c r="C364" t="s">
        <v>391</v>
      </c>
      <c r="D364" t="s">
        <v>12</v>
      </c>
      <c r="E364">
        <v>64</v>
      </c>
      <c r="F364" t="s">
        <v>13</v>
      </c>
      <c r="G364">
        <v>1</v>
      </c>
      <c r="H364">
        <v>25</v>
      </c>
      <c r="I364">
        <v>25</v>
      </c>
      <c r="J364" t="b">
        <f t="shared" si="5"/>
        <v>0</v>
      </c>
      <c r="M364" s="6" t="s">
        <v>953</v>
      </c>
      <c r="N364">
        <v>300</v>
      </c>
      <c r="V364" s="6">
        <v>347</v>
      </c>
      <c r="W364">
        <v>25</v>
      </c>
      <c r="Y364" s="6">
        <v>362</v>
      </c>
      <c r="Z364">
        <v>25</v>
      </c>
      <c r="AB364" s="6">
        <v>348</v>
      </c>
      <c r="AC364">
        <v>2</v>
      </c>
    </row>
    <row r="365" spans="1:29" x14ac:dyDescent="0.25">
      <c r="A365">
        <v>364</v>
      </c>
      <c r="B365" s="1">
        <v>45161</v>
      </c>
      <c r="C365" t="s">
        <v>392</v>
      </c>
      <c r="D365" t="s">
        <v>16</v>
      </c>
      <c r="E365">
        <v>19</v>
      </c>
      <c r="F365" t="s">
        <v>13</v>
      </c>
      <c r="G365">
        <v>1</v>
      </c>
      <c r="H365">
        <v>500</v>
      </c>
      <c r="I365">
        <v>500</v>
      </c>
      <c r="J365" t="str">
        <f t="shared" si="5"/>
        <v>18-25</v>
      </c>
      <c r="M365" s="6" t="s">
        <v>811</v>
      </c>
      <c r="N365">
        <v>300</v>
      </c>
      <c r="V365" s="6">
        <v>348</v>
      </c>
      <c r="W365">
        <v>600</v>
      </c>
      <c r="Y365" s="6">
        <v>363</v>
      </c>
      <c r="Z365">
        <v>25</v>
      </c>
      <c r="AB365" s="6">
        <v>349</v>
      </c>
      <c r="AC365">
        <v>1</v>
      </c>
    </row>
    <row r="366" spans="1:29" x14ac:dyDescent="0.25">
      <c r="A366">
        <v>365</v>
      </c>
      <c r="B366" s="1">
        <v>45088</v>
      </c>
      <c r="C366" t="s">
        <v>393</v>
      </c>
      <c r="D366" t="s">
        <v>12</v>
      </c>
      <c r="E366">
        <v>31</v>
      </c>
      <c r="F366" t="s">
        <v>17</v>
      </c>
      <c r="G366">
        <v>1</v>
      </c>
      <c r="H366">
        <v>300</v>
      </c>
      <c r="I366">
        <v>300</v>
      </c>
      <c r="J366" t="str">
        <f t="shared" si="5"/>
        <v>26-35</v>
      </c>
      <c r="M366" s="6" t="s">
        <v>880</v>
      </c>
      <c r="N366">
        <v>300</v>
      </c>
      <c r="V366" s="6">
        <v>349</v>
      </c>
      <c r="W366">
        <v>50</v>
      </c>
      <c r="Y366" s="6">
        <v>364</v>
      </c>
      <c r="Z366">
        <v>500</v>
      </c>
      <c r="AB366" s="6">
        <v>350</v>
      </c>
      <c r="AC366">
        <v>3</v>
      </c>
    </row>
    <row r="367" spans="1:29" x14ac:dyDescent="0.25">
      <c r="A367">
        <v>366</v>
      </c>
      <c r="B367" s="1">
        <v>44964</v>
      </c>
      <c r="C367" t="s">
        <v>394</v>
      </c>
      <c r="D367" t="s">
        <v>12</v>
      </c>
      <c r="E367">
        <v>57</v>
      </c>
      <c r="F367" t="s">
        <v>17</v>
      </c>
      <c r="G367">
        <v>2</v>
      </c>
      <c r="H367">
        <v>50</v>
      </c>
      <c r="I367">
        <v>100</v>
      </c>
      <c r="J367" t="str">
        <f t="shared" si="5"/>
        <v>46-60</v>
      </c>
      <c r="M367" s="6" t="s">
        <v>909</v>
      </c>
      <c r="N367">
        <v>300</v>
      </c>
      <c r="V367" s="6">
        <v>350</v>
      </c>
      <c r="W367">
        <v>75</v>
      </c>
      <c r="Y367" s="6">
        <v>365</v>
      </c>
      <c r="Z367">
        <v>300</v>
      </c>
      <c r="AB367" s="6">
        <v>351</v>
      </c>
      <c r="AC367">
        <v>3</v>
      </c>
    </row>
    <row r="368" spans="1:29" x14ac:dyDescent="0.25">
      <c r="A368">
        <v>367</v>
      </c>
      <c r="B368" s="1">
        <v>44931</v>
      </c>
      <c r="C368" t="s">
        <v>395</v>
      </c>
      <c r="D368" t="s">
        <v>16</v>
      </c>
      <c r="E368">
        <v>57</v>
      </c>
      <c r="F368" t="s">
        <v>20</v>
      </c>
      <c r="G368">
        <v>1</v>
      </c>
      <c r="H368">
        <v>50</v>
      </c>
      <c r="I368">
        <v>50</v>
      </c>
      <c r="J368" t="str">
        <f t="shared" si="5"/>
        <v>46-60</v>
      </c>
      <c r="M368" s="6" t="s">
        <v>967</v>
      </c>
      <c r="N368">
        <v>300</v>
      </c>
      <c r="V368" s="6">
        <v>351</v>
      </c>
      <c r="W368">
        <v>90</v>
      </c>
      <c r="Y368" s="6">
        <v>366</v>
      </c>
      <c r="Z368">
        <v>100</v>
      </c>
      <c r="AB368" s="6">
        <v>352</v>
      </c>
      <c r="AC368">
        <v>2</v>
      </c>
    </row>
    <row r="369" spans="1:29" x14ac:dyDescent="0.25">
      <c r="A369">
        <v>368</v>
      </c>
      <c r="B369" s="1">
        <v>45161</v>
      </c>
      <c r="C369" t="s">
        <v>396</v>
      </c>
      <c r="D369" t="s">
        <v>16</v>
      </c>
      <c r="E369">
        <v>56</v>
      </c>
      <c r="F369" t="s">
        <v>17</v>
      </c>
      <c r="G369">
        <v>4</v>
      </c>
      <c r="H369">
        <v>300</v>
      </c>
      <c r="I369">
        <v>1200</v>
      </c>
      <c r="J369" t="str">
        <f t="shared" si="5"/>
        <v>46-60</v>
      </c>
      <c r="M369" s="6" t="s">
        <v>854</v>
      </c>
      <c r="N369">
        <v>300</v>
      </c>
      <c r="V369" s="6">
        <v>352</v>
      </c>
      <c r="W369">
        <v>1000</v>
      </c>
      <c r="Y369" s="6">
        <v>367</v>
      </c>
      <c r="Z369">
        <v>50</v>
      </c>
      <c r="AB369" s="6">
        <v>353</v>
      </c>
      <c r="AC369">
        <v>1</v>
      </c>
    </row>
    <row r="370" spans="1:29" x14ac:dyDescent="0.25">
      <c r="A370">
        <v>369</v>
      </c>
      <c r="B370" s="1">
        <v>45245</v>
      </c>
      <c r="C370" t="s">
        <v>397</v>
      </c>
      <c r="D370" t="s">
        <v>12</v>
      </c>
      <c r="E370">
        <v>23</v>
      </c>
      <c r="F370" t="s">
        <v>20</v>
      </c>
      <c r="G370">
        <v>3</v>
      </c>
      <c r="H370">
        <v>500</v>
      </c>
      <c r="I370">
        <v>1500</v>
      </c>
      <c r="J370" t="str">
        <f t="shared" si="5"/>
        <v>18-25</v>
      </c>
      <c r="M370" s="6" t="s">
        <v>975</v>
      </c>
      <c r="N370">
        <v>300</v>
      </c>
      <c r="V370" s="6">
        <v>353</v>
      </c>
      <c r="W370">
        <v>500</v>
      </c>
      <c r="Y370" s="6">
        <v>368</v>
      </c>
      <c r="Z370">
        <v>1200</v>
      </c>
      <c r="AB370" s="6">
        <v>354</v>
      </c>
      <c r="AC370">
        <v>4</v>
      </c>
    </row>
    <row r="371" spans="1:29" x14ac:dyDescent="0.25">
      <c r="A371">
        <v>370</v>
      </c>
      <c r="B371" s="1">
        <v>45215</v>
      </c>
      <c r="C371" t="s">
        <v>398</v>
      </c>
      <c r="D371" t="s">
        <v>12</v>
      </c>
      <c r="E371">
        <v>23</v>
      </c>
      <c r="F371" t="s">
        <v>20</v>
      </c>
      <c r="G371">
        <v>2</v>
      </c>
      <c r="H371">
        <v>30</v>
      </c>
      <c r="I371">
        <v>60</v>
      </c>
      <c r="J371" t="str">
        <f t="shared" si="5"/>
        <v>18-25</v>
      </c>
      <c r="M371" s="6" t="s">
        <v>769</v>
      </c>
      <c r="N371">
        <v>300</v>
      </c>
      <c r="V371" s="6">
        <v>354</v>
      </c>
      <c r="W371">
        <v>200</v>
      </c>
      <c r="Y371" s="6">
        <v>369</v>
      </c>
      <c r="Z371">
        <v>1500</v>
      </c>
      <c r="AB371" s="6">
        <v>355</v>
      </c>
      <c r="AC371">
        <v>1</v>
      </c>
    </row>
    <row r="372" spans="1:29" x14ac:dyDescent="0.25">
      <c r="A372">
        <v>371</v>
      </c>
      <c r="B372" s="1">
        <v>44978</v>
      </c>
      <c r="C372" t="s">
        <v>399</v>
      </c>
      <c r="D372" t="s">
        <v>16</v>
      </c>
      <c r="E372">
        <v>20</v>
      </c>
      <c r="F372" t="s">
        <v>13</v>
      </c>
      <c r="G372">
        <v>1</v>
      </c>
      <c r="H372">
        <v>25</v>
      </c>
      <c r="I372">
        <v>25</v>
      </c>
      <c r="J372" t="str">
        <f t="shared" si="5"/>
        <v>18-25</v>
      </c>
      <c r="M372" s="6" t="s">
        <v>702</v>
      </c>
      <c r="N372">
        <v>300</v>
      </c>
      <c r="V372" s="6">
        <v>355</v>
      </c>
      <c r="W372">
        <v>500</v>
      </c>
      <c r="Y372" s="6">
        <v>370</v>
      </c>
      <c r="Z372">
        <v>60</v>
      </c>
      <c r="AB372" s="6">
        <v>356</v>
      </c>
      <c r="AC372">
        <v>3</v>
      </c>
    </row>
    <row r="373" spans="1:29" x14ac:dyDescent="0.25">
      <c r="A373">
        <v>372</v>
      </c>
      <c r="B373" s="1">
        <v>44964</v>
      </c>
      <c r="C373" t="s">
        <v>400</v>
      </c>
      <c r="D373" t="s">
        <v>16</v>
      </c>
      <c r="E373">
        <v>24</v>
      </c>
      <c r="F373" t="s">
        <v>13</v>
      </c>
      <c r="G373">
        <v>3</v>
      </c>
      <c r="H373">
        <v>500</v>
      </c>
      <c r="I373">
        <v>1500</v>
      </c>
      <c r="J373" t="str">
        <f t="shared" si="5"/>
        <v>18-25</v>
      </c>
      <c r="M373" s="6" t="s">
        <v>596</v>
      </c>
      <c r="N373">
        <v>300</v>
      </c>
      <c r="V373" s="6">
        <v>356</v>
      </c>
      <c r="W373">
        <v>1500</v>
      </c>
      <c r="Y373" s="6">
        <v>371</v>
      </c>
      <c r="Z373">
        <v>25</v>
      </c>
      <c r="AB373" s="6">
        <v>357</v>
      </c>
      <c r="AC373">
        <v>3</v>
      </c>
    </row>
    <row r="374" spans="1:29" x14ac:dyDescent="0.25">
      <c r="A374">
        <v>373</v>
      </c>
      <c r="B374" s="1">
        <v>45202</v>
      </c>
      <c r="C374" t="s">
        <v>401</v>
      </c>
      <c r="D374" t="s">
        <v>16</v>
      </c>
      <c r="E374">
        <v>25</v>
      </c>
      <c r="F374" t="s">
        <v>13</v>
      </c>
      <c r="G374">
        <v>2</v>
      </c>
      <c r="H374">
        <v>300</v>
      </c>
      <c r="I374">
        <v>600</v>
      </c>
      <c r="J374" t="str">
        <f t="shared" si="5"/>
        <v>18-25</v>
      </c>
      <c r="M374" s="6" t="s">
        <v>624</v>
      </c>
      <c r="N374">
        <v>300</v>
      </c>
      <c r="V374" s="6">
        <v>357</v>
      </c>
      <c r="W374">
        <v>75</v>
      </c>
      <c r="Y374" s="6">
        <v>372</v>
      </c>
      <c r="Z374">
        <v>1500</v>
      </c>
      <c r="AB374" s="6">
        <v>358</v>
      </c>
      <c r="AC374">
        <v>1</v>
      </c>
    </row>
    <row r="375" spans="1:29" x14ac:dyDescent="0.25">
      <c r="A375">
        <v>374</v>
      </c>
      <c r="B375" s="1">
        <v>45036</v>
      </c>
      <c r="C375" t="s">
        <v>402</v>
      </c>
      <c r="D375" t="s">
        <v>16</v>
      </c>
      <c r="E375">
        <v>59</v>
      </c>
      <c r="F375" t="s">
        <v>13</v>
      </c>
      <c r="G375">
        <v>3</v>
      </c>
      <c r="H375">
        <v>25</v>
      </c>
      <c r="I375">
        <v>75</v>
      </c>
      <c r="J375" t="str">
        <f t="shared" si="5"/>
        <v>46-60</v>
      </c>
      <c r="M375" s="6" t="s">
        <v>406</v>
      </c>
      <c r="N375">
        <v>300</v>
      </c>
      <c r="V375" s="6">
        <v>358</v>
      </c>
      <c r="W375">
        <v>300</v>
      </c>
      <c r="Y375" s="6">
        <v>373</v>
      </c>
      <c r="Z375">
        <v>600</v>
      </c>
      <c r="AB375" s="6">
        <v>359</v>
      </c>
      <c r="AC375">
        <v>1</v>
      </c>
    </row>
    <row r="376" spans="1:29" x14ac:dyDescent="0.25">
      <c r="A376">
        <v>375</v>
      </c>
      <c r="B376" s="1">
        <v>45186</v>
      </c>
      <c r="C376" t="s">
        <v>403</v>
      </c>
      <c r="D376" t="s">
        <v>12</v>
      </c>
      <c r="E376">
        <v>32</v>
      </c>
      <c r="F376" t="s">
        <v>17</v>
      </c>
      <c r="G376">
        <v>1</v>
      </c>
      <c r="H376">
        <v>50</v>
      </c>
      <c r="I376">
        <v>50</v>
      </c>
      <c r="J376" t="str">
        <f t="shared" si="5"/>
        <v>26-35</v>
      </c>
      <c r="M376" s="6" t="s">
        <v>583</v>
      </c>
      <c r="N376">
        <v>300</v>
      </c>
      <c r="V376" s="6">
        <v>359</v>
      </c>
      <c r="W376">
        <v>50</v>
      </c>
      <c r="Y376" s="6">
        <v>374</v>
      </c>
      <c r="Z376">
        <v>75</v>
      </c>
      <c r="AB376" s="6">
        <v>360</v>
      </c>
      <c r="AC376">
        <v>4</v>
      </c>
    </row>
    <row r="377" spans="1:29" x14ac:dyDescent="0.25">
      <c r="A377">
        <v>376</v>
      </c>
      <c r="B377" s="1">
        <v>45062</v>
      </c>
      <c r="C377" t="s">
        <v>404</v>
      </c>
      <c r="D377" t="s">
        <v>16</v>
      </c>
      <c r="E377">
        <v>64</v>
      </c>
      <c r="F377" t="s">
        <v>13</v>
      </c>
      <c r="G377">
        <v>1</v>
      </c>
      <c r="H377">
        <v>30</v>
      </c>
      <c r="I377">
        <v>30</v>
      </c>
      <c r="J377" t="b">
        <f t="shared" si="5"/>
        <v>0</v>
      </c>
      <c r="M377" s="6" t="s">
        <v>393</v>
      </c>
      <c r="N377">
        <v>300</v>
      </c>
      <c r="V377" s="6">
        <v>360</v>
      </c>
      <c r="W377">
        <v>100</v>
      </c>
      <c r="Y377" s="6">
        <v>375</v>
      </c>
      <c r="Z377">
        <v>50</v>
      </c>
      <c r="AB377" s="6">
        <v>361</v>
      </c>
      <c r="AC377">
        <v>4</v>
      </c>
    </row>
    <row r="378" spans="1:29" x14ac:dyDescent="0.25">
      <c r="A378">
        <v>377</v>
      </c>
      <c r="B378" s="1">
        <v>44994</v>
      </c>
      <c r="C378" t="s">
        <v>405</v>
      </c>
      <c r="D378" t="s">
        <v>16</v>
      </c>
      <c r="E378">
        <v>46</v>
      </c>
      <c r="F378" t="s">
        <v>17</v>
      </c>
      <c r="G378">
        <v>4</v>
      </c>
      <c r="H378">
        <v>50</v>
      </c>
      <c r="I378">
        <v>200</v>
      </c>
      <c r="J378" t="str">
        <f t="shared" si="5"/>
        <v>46-60</v>
      </c>
      <c r="M378" s="6" t="s">
        <v>473</v>
      </c>
      <c r="N378">
        <v>300</v>
      </c>
      <c r="V378" s="6">
        <v>361</v>
      </c>
      <c r="W378">
        <v>1200</v>
      </c>
      <c r="Y378" s="6">
        <v>376</v>
      </c>
      <c r="Z378">
        <v>30</v>
      </c>
      <c r="AB378" s="6">
        <v>362</v>
      </c>
      <c r="AC378">
        <v>1</v>
      </c>
    </row>
    <row r="379" spans="1:29" x14ac:dyDescent="0.25">
      <c r="A379">
        <v>378</v>
      </c>
      <c r="B379" s="1">
        <v>45105</v>
      </c>
      <c r="C379" t="s">
        <v>406</v>
      </c>
      <c r="D379" t="s">
        <v>12</v>
      </c>
      <c r="E379">
        <v>50</v>
      </c>
      <c r="F379" t="s">
        <v>13</v>
      </c>
      <c r="G379">
        <v>1</v>
      </c>
      <c r="H379">
        <v>300</v>
      </c>
      <c r="I379">
        <v>300</v>
      </c>
      <c r="J379" t="str">
        <f t="shared" si="5"/>
        <v>46-60</v>
      </c>
      <c r="M379" s="6" t="s">
        <v>653</v>
      </c>
      <c r="N379">
        <v>300</v>
      </c>
      <c r="V379" s="6">
        <v>362</v>
      </c>
      <c r="W379">
        <v>25</v>
      </c>
      <c r="Y379" s="6">
        <v>377</v>
      </c>
      <c r="Z379">
        <v>200</v>
      </c>
      <c r="AB379" s="6">
        <v>363</v>
      </c>
      <c r="AC379">
        <v>1</v>
      </c>
    </row>
    <row r="380" spans="1:29" x14ac:dyDescent="0.25">
      <c r="A380">
        <v>379</v>
      </c>
      <c r="B380" s="1">
        <v>44962</v>
      </c>
      <c r="C380" t="s">
        <v>407</v>
      </c>
      <c r="D380" t="s">
        <v>16</v>
      </c>
      <c r="E380">
        <v>47</v>
      </c>
      <c r="F380" t="s">
        <v>17</v>
      </c>
      <c r="G380">
        <v>1</v>
      </c>
      <c r="H380">
        <v>25</v>
      </c>
      <c r="I380">
        <v>25</v>
      </c>
      <c r="J380" t="str">
        <f t="shared" si="5"/>
        <v>46-60</v>
      </c>
      <c r="M380" s="6" t="s">
        <v>630</v>
      </c>
      <c r="N380">
        <v>300</v>
      </c>
      <c r="V380" s="6">
        <v>363</v>
      </c>
      <c r="W380">
        <v>25</v>
      </c>
      <c r="Y380" s="6">
        <v>378</v>
      </c>
      <c r="Z380">
        <v>300</v>
      </c>
      <c r="AB380" s="6">
        <v>364</v>
      </c>
      <c r="AC380">
        <v>1</v>
      </c>
    </row>
    <row r="381" spans="1:29" x14ac:dyDescent="0.25">
      <c r="A381">
        <v>380</v>
      </c>
      <c r="B381" s="1">
        <v>45052</v>
      </c>
      <c r="C381" t="s">
        <v>408</v>
      </c>
      <c r="D381" t="s">
        <v>12</v>
      </c>
      <c r="E381">
        <v>56</v>
      </c>
      <c r="F381" t="s">
        <v>20</v>
      </c>
      <c r="G381">
        <v>2</v>
      </c>
      <c r="H381">
        <v>300</v>
      </c>
      <c r="I381">
        <v>600</v>
      </c>
      <c r="J381" t="str">
        <f t="shared" si="5"/>
        <v>46-60</v>
      </c>
      <c r="M381" s="6" t="s">
        <v>386</v>
      </c>
      <c r="N381">
        <v>300</v>
      </c>
      <c r="V381" s="6">
        <v>364</v>
      </c>
      <c r="W381">
        <v>500</v>
      </c>
      <c r="Y381" s="6">
        <v>379</v>
      </c>
      <c r="Z381">
        <v>25</v>
      </c>
      <c r="AB381" s="6">
        <v>365</v>
      </c>
      <c r="AC381">
        <v>1</v>
      </c>
    </row>
    <row r="382" spans="1:29" x14ac:dyDescent="0.25">
      <c r="A382">
        <v>381</v>
      </c>
      <c r="B382" s="1">
        <v>45116</v>
      </c>
      <c r="C382" t="s">
        <v>409</v>
      </c>
      <c r="D382" t="s">
        <v>16</v>
      </c>
      <c r="E382">
        <v>44</v>
      </c>
      <c r="F382" t="s">
        <v>17</v>
      </c>
      <c r="G382">
        <v>4</v>
      </c>
      <c r="H382">
        <v>25</v>
      </c>
      <c r="I382">
        <v>100</v>
      </c>
      <c r="J382" t="str">
        <f t="shared" si="5"/>
        <v>36-45</v>
      </c>
      <c r="M382" s="6" t="s">
        <v>669</v>
      </c>
      <c r="N382">
        <v>300</v>
      </c>
      <c r="V382" s="6">
        <v>365</v>
      </c>
      <c r="W382">
        <v>300</v>
      </c>
      <c r="Y382" s="6">
        <v>380</v>
      </c>
      <c r="Z382">
        <v>600</v>
      </c>
      <c r="AB382" s="6">
        <v>366</v>
      </c>
      <c r="AC382">
        <v>2</v>
      </c>
    </row>
    <row r="383" spans="1:29" x14ac:dyDescent="0.25">
      <c r="A383">
        <v>382</v>
      </c>
      <c r="B383" s="1">
        <v>45072</v>
      </c>
      <c r="C383" t="s">
        <v>410</v>
      </c>
      <c r="D383" t="s">
        <v>16</v>
      </c>
      <c r="E383">
        <v>53</v>
      </c>
      <c r="F383" t="s">
        <v>17</v>
      </c>
      <c r="G383">
        <v>2</v>
      </c>
      <c r="H383">
        <v>500</v>
      </c>
      <c r="I383">
        <v>1000</v>
      </c>
      <c r="J383" t="str">
        <f t="shared" si="5"/>
        <v>46-60</v>
      </c>
      <c r="M383" s="6" t="s">
        <v>429</v>
      </c>
      <c r="N383">
        <v>300</v>
      </c>
      <c r="V383" s="6">
        <v>366</v>
      </c>
      <c r="W383">
        <v>100</v>
      </c>
      <c r="Y383" s="6">
        <v>381</v>
      </c>
      <c r="Z383">
        <v>100</v>
      </c>
      <c r="AB383" s="6">
        <v>367</v>
      </c>
      <c r="AC383">
        <v>1</v>
      </c>
    </row>
    <row r="384" spans="1:29" x14ac:dyDescent="0.25">
      <c r="A384">
        <v>383</v>
      </c>
      <c r="B384" s="1">
        <v>45007</v>
      </c>
      <c r="C384" t="s">
        <v>411</v>
      </c>
      <c r="D384" t="s">
        <v>16</v>
      </c>
      <c r="E384">
        <v>46</v>
      </c>
      <c r="F384" t="s">
        <v>13</v>
      </c>
      <c r="G384">
        <v>3</v>
      </c>
      <c r="H384">
        <v>30</v>
      </c>
      <c r="I384">
        <v>90</v>
      </c>
      <c r="J384" t="str">
        <f t="shared" si="5"/>
        <v>46-60</v>
      </c>
      <c r="M384" s="6" t="s">
        <v>551</v>
      </c>
      <c r="N384">
        <v>300</v>
      </c>
      <c r="V384" s="6">
        <v>367</v>
      </c>
      <c r="W384">
        <v>50</v>
      </c>
      <c r="Y384" s="6">
        <v>382</v>
      </c>
      <c r="Z384">
        <v>1000</v>
      </c>
      <c r="AB384" s="6">
        <v>368</v>
      </c>
      <c r="AC384">
        <v>4</v>
      </c>
    </row>
    <row r="385" spans="1:29" x14ac:dyDescent="0.25">
      <c r="A385">
        <v>384</v>
      </c>
      <c r="B385" s="1">
        <v>45151</v>
      </c>
      <c r="C385" t="s">
        <v>412</v>
      </c>
      <c r="D385" t="s">
        <v>12</v>
      </c>
      <c r="E385">
        <v>55</v>
      </c>
      <c r="F385" t="s">
        <v>17</v>
      </c>
      <c r="G385">
        <v>1</v>
      </c>
      <c r="H385">
        <v>500</v>
      </c>
      <c r="I385">
        <v>500</v>
      </c>
      <c r="J385" t="str">
        <f t="shared" si="5"/>
        <v>46-60</v>
      </c>
      <c r="M385" s="6" t="s">
        <v>542</v>
      </c>
      <c r="N385">
        <v>300</v>
      </c>
      <c r="V385" s="6">
        <v>368</v>
      </c>
      <c r="W385">
        <v>1200</v>
      </c>
      <c r="Y385" s="6">
        <v>383</v>
      </c>
      <c r="Z385">
        <v>90</v>
      </c>
      <c r="AB385" s="6">
        <v>369</v>
      </c>
      <c r="AC385">
        <v>3</v>
      </c>
    </row>
    <row r="386" spans="1:29" x14ac:dyDescent="0.25">
      <c r="A386">
        <v>385</v>
      </c>
      <c r="B386" s="1">
        <v>45205</v>
      </c>
      <c r="C386" t="s">
        <v>413</v>
      </c>
      <c r="D386" t="s">
        <v>12</v>
      </c>
      <c r="E386">
        <v>50</v>
      </c>
      <c r="F386" t="s">
        <v>20</v>
      </c>
      <c r="G386">
        <v>3</v>
      </c>
      <c r="H386">
        <v>500</v>
      </c>
      <c r="I386">
        <v>1500</v>
      </c>
      <c r="J386" t="str">
        <f t="shared" si="5"/>
        <v>46-60</v>
      </c>
      <c r="M386" s="6" t="s">
        <v>280</v>
      </c>
      <c r="N386">
        <v>300</v>
      </c>
      <c r="V386" s="6">
        <v>369</v>
      </c>
      <c r="W386">
        <v>1500</v>
      </c>
      <c r="Y386" s="6">
        <v>384</v>
      </c>
      <c r="Z386">
        <v>500</v>
      </c>
      <c r="AB386" s="6">
        <v>370</v>
      </c>
      <c r="AC386">
        <v>2</v>
      </c>
    </row>
    <row r="387" spans="1:29" x14ac:dyDescent="0.25">
      <c r="A387">
        <v>386</v>
      </c>
      <c r="B387" s="1">
        <v>45287</v>
      </c>
      <c r="C387" t="s">
        <v>414</v>
      </c>
      <c r="D387" t="s">
        <v>16</v>
      </c>
      <c r="E387">
        <v>54</v>
      </c>
      <c r="F387" t="s">
        <v>20</v>
      </c>
      <c r="G387">
        <v>2</v>
      </c>
      <c r="H387">
        <v>300</v>
      </c>
      <c r="I387">
        <v>600</v>
      </c>
      <c r="J387" t="str">
        <f t="shared" ref="J387:J450" si="6">IF(AND(E387&gt;=18,E387&lt;=25),"18-25",IF(AND(E387&gt;=26,E387&lt;=35),"26-35",IF(AND(E387&gt;=36,E387&lt;=45),"36-45",IF(AND(E387&gt;=46,E387&lt;=60),"46-60"))))</f>
        <v>46-60</v>
      </c>
      <c r="M387" s="6" t="s">
        <v>96</v>
      </c>
      <c r="N387">
        <v>300</v>
      </c>
      <c r="V387" s="6">
        <v>370</v>
      </c>
      <c r="W387">
        <v>60</v>
      </c>
      <c r="Y387" s="6">
        <v>385</v>
      </c>
      <c r="Z387">
        <v>1500</v>
      </c>
      <c r="AB387" s="6">
        <v>371</v>
      </c>
      <c r="AC387">
        <v>1</v>
      </c>
    </row>
    <row r="388" spans="1:29" x14ac:dyDescent="0.25">
      <c r="A388">
        <v>387</v>
      </c>
      <c r="B388" s="1">
        <v>45081</v>
      </c>
      <c r="C388" t="s">
        <v>415</v>
      </c>
      <c r="D388" t="s">
        <v>12</v>
      </c>
      <c r="E388">
        <v>44</v>
      </c>
      <c r="F388" t="s">
        <v>13</v>
      </c>
      <c r="G388">
        <v>1</v>
      </c>
      <c r="H388">
        <v>30</v>
      </c>
      <c r="I388">
        <v>30</v>
      </c>
      <c r="J388" t="str">
        <f t="shared" si="6"/>
        <v>36-45</v>
      </c>
      <c r="M388" s="6" t="s">
        <v>107</v>
      </c>
      <c r="N388">
        <v>300</v>
      </c>
      <c r="V388" s="6">
        <v>371</v>
      </c>
      <c r="W388">
        <v>25</v>
      </c>
      <c r="Y388" s="6">
        <v>386</v>
      </c>
      <c r="Z388">
        <v>600</v>
      </c>
      <c r="AB388" s="6">
        <v>372</v>
      </c>
      <c r="AC388">
        <v>3</v>
      </c>
    </row>
    <row r="389" spans="1:29" x14ac:dyDescent="0.25">
      <c r="A389">
        <v>388</v>
      </c>
      <c r="B389" s="1">
        <v>45240</v>
      </c>
      <c r="C389" t="s">
        <v>416</v>
      </c>
      <c r="D389" t="s">
        <v>12</v>
      </c>
      <c r="E389">
        <v>50</v>
      </c>
      <c r="F389" t="s">
        <v>20</v>
      </c>
      <c r="G389">
        <v>1</v>
      </c>
      <c r="H389">
        <v>25</v>
      </c>
      <c r="I389">
        <v>25</v>
      </c>
      <c r="J389" t="str">
        <f t="shared" si="6"/>
        <v>46-60</v>
      </c>
      <c r="M389" s="6" t="s">
        <v>196</v>
      </c>
      <c r="N389">
        <v>300</v>
      </c>
      <c r="V389" s="6">
        <v>372</v>
      </c>
      <c r="W389">
        <v>1500</v>
      </c>
      <c r="Y389" s="6">
        <v>387</v>
      </c>
      <c r="Z389">
        <v>30</v>
      </c>
      <c r="AB389" s="6">
        <v>373</v>
      </c>
      <c r="AC389">
        <v>2</v>
      </c>
    </row>
    <row r="390" spans="1:29" x14ac:dyDescent="0.25">
      <c r="A390">
        <v>389</v>
      </c>
      <c r="B390" s="1">
        <v>45261</v>
      </c>
      <c r="C390" t="s">
        <v>417</v>
      </c>
      <c r="D390" t="s">
        <v>12</v>
      </c>
      <c r="E390">
        <v>21</v>
      </c>
      <c r="F390" t="s">
        <v>17</v>
      </c>
      <c r="G390">
        <v>2</v>
      </c>
      <c r="H390">
        <v>25</v>
      </c>
      <c r="I390">
        <v>50</v>
      </c>
      <c r="J390" t="str">
        <f t="shared" si="6"/>
        <v>18-25</v>
      </c>
      <c r="M390" s="6" t="s">
        <v>71</v>
      </c>
      <c r="N390">
        <v>300</v>
      </c>
      <c r="V390" s="6">
        <v>373</v>
      </c>
      <c r="W390">
        <v>600</v>
      </c>
      <c r="Y390" s="6">
        <v>388</v>
      </c>
      <c r="Z390">
        <v>25</v>
      </c>
      <c r="AB390" s="6">
        <v>374</v>
      </c>
      <c r="AC390">
        <v>3</v>
      </c>
    </row>
    <row r="391" spans="1:29" x14ac:dyDescent="0.25">
      <c r="A391">
        <v>390</v>
      </c>
      <c r="B391" s="1">
        <v>45197</v>
      </c>
      <c r="C391" t="s">
        <v>418</v>
      </c>
      <c r="D391" t="s">
        <v>12</v>
      </c>
      <c r="E391">
        <v>39</v>
      </c>
      <c r="F391" t="s">
        <v>20</v>
      </c>
      <c r="G391">
        <v>2</v>
      </c>
      <c r="H391">
        <v>50</v>
      </c>
      <c r="I391">
        <v>100</v>
      </c>
      <c r="J391" t="str">
        <f t="shared" si="6"/>
        <v>36-45</v>
      </c>
      <c r="M391" s="6" t="s">
        <v>202</v>
      </c>
      <c r="N391">
        <v>300</v>
      </c>
      <c r="V391" s="6">
        <v>374</v>
      </c>
      <c r="W391">
        <v>75</v>
      </c>
      <c r="Y391" s="6">
        <v>389</v>
      </c>
      <c r="Z391">
        <v>50</v>
      </c>
      <c r="AB391" s="6">
        <v>375</v>
      </c>
      <c r="AC391">
        <v>1</v>
      </c>
    </row>
    <row r="392" spans="1:29" x14ac:dyDescent="0.25">
      <c r="A392">
        <v>391</v>
      </c>
      <c r="B392" s="1">
        <v>44931</v>
      </c>
      <c r="C392" t="s">
        <v>419</v>
      </c>
      <c r="D392" t="s">
        <v>12</v>
      </c>
      <c r="E392">
        <v>19</v>
      </c>
      <c r="F392" t="s">
        <v>13</v>
      </c>
      <c r="G392">
        <v>2</v>
      </c>
      <c r="H392">
        <v>25</v>
      </c>
      <c r="I392">
        <v>50</v>
      </c>
      <c r="J392" t="str">
        <f t="shared" si="6"/>
        <v>18-25</v>
      </c>
      <c r="M392" s="6" t="s">
        <v>80</v>
      </c>
      <c r="N392">
        <v>300</v>
      </c>
      <c r="V392" s="6">
        <v>375</v>
      </c>
      <c r="W392">
        <v>50</v>
      </c>
      <c r="Y392" s="6">
        <v>390</v>
      </c>
      <c r="Z392">
        <v>100</v>
      </c>
      <c r="AB392" s="6">
        <v>376</v>
      </c>
      <c r="AC392">
        <v>1</v>
      </c>
    </row>
    <row r="393" spans="1:29" x14ac:dyDescent="0.25">
      <c r="A393">
        <v>392</v>
      </c>
      <c r="B393" s="1">
        <v>45268</v>
      </c>
      <c r="C393" t="s">
        <v>420</v>
      </c>
      <c r="D393" t="s">
        <v>12</v>
      </c>
      <c r="E393">
        <v>27</v>
      </c>
      <c r="F393" t="s">
        <v>17</v>
      </c>
      <c r="G393">
        <v>2</v>
      </c>
      <c r="H393">
        <v>300</v>
      </c>
      <c r="I393">
        <v>600</v>
      </c>
      <c r="J393" t="str">
        <f t="shared" si="6"/>
        <v>26-35</v>
      </c>
      <c r="M393" s="6" t="s">
        <v>207</v>
      </c>
      <c r="N393">
        <v>300</v>
      </c>
      <c r="V393" s="6">
        <v>376</v>
      </c>
      <c r="W393">
        <v>30</v>
      </c>
      <c r="Y393" s="6">
        <v>391</v>
      </c>
      <c r="Z393">
        <v>50</v>
      </c>
      <c r="AB393" s="6">
        <v>377</v>
      </c>
      <c r="AC393">
        <v>4</v>
      </c>
    </row>
    <row r="394" spans="1:29" x14ac:dyDescent="0.25">
      <c r="A394">
        <v>393</v>
      </c>
      <c r="B394" s="1">
        <v>45210</v>
      </c>
      <c r="C394" t="s">
        <v>421</v>
      </c>
      <c r="D394" t="s">
        <v>16</v>
      </c>
      <c r="E394">
        <v>22</v>
      </c>
      <c r="F394" t="s">
        <v>13</v>
      </c>
      <c r="G394">
        <v>2</v>
      </c>
      <c r="H394">
        <v>500</v>
      </c>
      <c r="I394">
        <v>1000</v>
      </c>
      <c r="J394" t="str">
        <f t="shared" si="6"/>
        <v>18-25</v>
      </c>
      <c r="M394" s="6" t="s">
        <v>175</v>
      </c>
      <c r="N394">
        <v>300</v>
      </c>
      <c r="V394" s="6">
        <v>377</v>
      </c>
      <c r="W394">
        <v>200</v>
      </c>
      <c r="Y394" s="6">
        <v>392</v>
      </c>
      <c r="Z394">
        <v>600</v>
      </c>
      <c r="AB394" s="6">
        <v>378</v>
      </c>
      <c r="AC394">
        <v>1</v>
      </c>
    </row>
    <row r="395" spans="1:29" x14ac:dyDescent="0.25">
      <c r="A395">
        <v>394</v>
      </c>
      <c r="B395" s="1">
        <v>45080</v>
      </c>
      <c r="C395" t="s">
        <v>422</v>
      </c>
      <c r="D395" t="s">
        <v>16</v>
      </c>
      <c r="E395">
        <v>27</v>
      </c>
      <c r="F395" t="s">
        <v>17</v>
      </c>
      <c r="G395">
        <v>1</v>
      </c>
      <c r="H395">
        <v>500</v>
      </c>
      <c r="I395">
        <v>500</v>
      </c>
      <c r="J395" t="str">
        <f t="shared" si="6"/>
        <v>26-35</v>
      </c>
      <c r="M395" s="6" t="s">
        <v>268</v>
      </c>
      <c r="N395">
        <v>300</v>
      </c>
      <c r="V395" s="6">
        <v>378</v>
      </c>
      <c r="W395">
        <v>300</v>
      </c>
      <c r="Y395" s="6">
        <v>393</v>
      </c>
      <c r="Z395">
        <v>1000</v>
      </c>
      <c r="AB395" s="6">
        <v>379</v>
      </c>
      <c r="AC395">
        <v>1</v>
      </c>
    </row>
    <row r="396" spans="1:29" x14ac:dyDescent="0.25">
      <c r="A396">
        <v>395</v>
      </c>
      <c r="B396" s="1">
        <v>45266</v>
      </c>
      <c r="C396" t="s">
        <v>423</v>
      </c>
      <c r="D396" t="s">
        <v>12</v>
      </c>
      <c r="E396">
        <v>50</v>
      </c>
      <c r="F396" t="s">
        <v>20</v>
      </c>
      <c r="G396">
        <v>2</v>
      </c>
      <c r="H396">
        <v>500</v>
      </c>
      <c r="I396">
        <v>1000</v>
      </c>
      <c r="J396" t="str">
        <f t="shared" si="6"/>
        <v>46-60</v>
      </c>
      <c r="M396" s="6" t="s">
        <v>98</v>
      </c>
      <c r="N396">
        <v>300</v>
      </c>
      <c r="V396" s="6">
        <v>379</v>
      </c>
      <c r="W396">
        <v>25</v>
      </c>
      <c r="Y396" s="6">
        <v>394</v>
      </c>
      <c r="Z396">
        <v>500</v>
      </c>
      <c r="AB396" s="6">
        <v>380</v>
      </c>
      <c r="AC396">
        <v>2</v>
      </c>
    </row>
    <row r="397" spans="1:29" x14ac:dyDescent="0.25">
      <c r="A397">
        <v>396</v>
      </c>
      <c r="B397" s="1">
        <v>44980</v>
      </c>
      <c r="C397" t="s">
        <v>424</v>
      </c>
      <c r="D397" t="s">
        <v>16</v>
      </c>
      <c r="E397">
        <v>55</v>
      </c>
      <c r="F397" t="s">
        <v>13</v>
      </c>
      <c r="G397">
        <v>1</v>
      </c>
      <c r="H397">
        <v>30</v>
      </c>
      <c r="I397">
        <v>30</v>
      </c>
      <c r="J397" t="str">
        <f t="shared" si="6"/>
        <v>46-60</v>
      </c>
      <c r="M397" s="6" t="s">
        <v>50</v>
      </c>
      <c r="N397">
        <v>300</v>
      </c>
      <c r="V397" s="6">
        <v>380</v>
      </c>
      <c r="W397">
        <v>600</v>
      </c>
      <c r="Y397" s="6">
        <v>395</v>
      </c>
      <c r="Z397">
        <v>1000</v>
      </c>
      <c r="AB397" s="6">
        <v>381</v>
      </c>
      <c r="AC397">
        <v>4</v>
      </c>
    </row>
    <row r="398" spans="1:29" x14ac:dyDescent="0.25">
      <c r="A398">
        <v>397</v>
      </c>
      <c r="B398" s="1">
        <v>44995</v>
      </c>
      <c r="C398" t="s">
        <v>425</v>
      </c>
      <c r="D398" t="s">
        <v>16</v>
      </c>
      <c r="E398">
        <v>30</v>
      </c>
      <c r="F398" t="s">
        <v>13</v>
      </c>
      <c r="G398">
        <v>1</v>
      </c>
      <c r="H398">
        <v>25</v>
      </c>
      <c r="I398">
        <v>25</v>
      </c>
      <c r="J398" t="str">
        <f t="shared" si="6"/>
        <v>26-35</v>
      </c>
      <c r="M398" s="6" t="s">
        <v>298</v>
      </c>
      <c r="N398">
        <v>300</v>
      </c>
      <c r="V398" s="6">
        <v>381</v>
      </c>
      <c r="W398">
        <v>100</v>
      </c>
      <c r="Y398" s="6">
        <v>396</v>
      </c>
      <c r="Z398">
        <v>30</v>
      </c>
      <c r="AB398" s="6">
        <v>382</v>
      </c>
      <c r="AC398">
        <v>2</v>
      </c>
    </row>
    <row r="399" spans="1:29" x14ac:dyDescent="0.25">
      <c r="A399">
        <v>398</v>
      </c>
      <c r="B399" s="1">
        <v>45062</v>
      </c>
      <c r="C399" t="s">
        <v>426</v>
      </c>
      <c r="D399" t="s">
        <v>16</v>
      </c>
      <c r="E399">
        <v>48</v>
      </c>
      <c r="F399" t="s">
        <v>17</v>
      </c>
      <c r="G399">
        <v>2</v>
      </c>
      <c r="H399">
        <v>300</v>
      </c>
      <c r="I399">
        <v>600</v>
      </c>
      <c r="J399" t="str">
        <f t="shared" si="6"/>
        <v>46-60</v>
      </c>
      <c r="M399" s="6" t="s">
        <v>931</v>
      </c>
      <c r="N399">
        <v>200</v>
      </c>
      <c r="V399" s="6">
        <v>382</v>
      </c>
      <c r="W399">
        <v>1000</v>
      </c>
      <c r="Y399" s="6">
        <v>397</v>
      </c>
      <c r="Z399">
        <v>25</v>
      </c>
      <c r="AB399" s="6">
        <v>383</v>
      </c>
      <c r="AC399">
        <v>3</v>
      </c>
    </row>
    <row r="400" spans="1:29" x14ac:dyDescent="0.25">
      <c r="A400">
        <v>399</v>
      </c>
      <c r="B400" s="1">
        <v>44986</v>
      </c>
      <c r="C400" t="s">
        <v>427</v>
      </c>
      <c r="D400" t="s">
        <v>16</v>
      </c>
      <c r="E400">
        <v>64</v>
      </c>
      <c r="F400" t="s">
        <v>13</v>
      </c>
      <c r="G400">
        <v>2</v>
      </c>
      <c r="H400">
        <v>30</v>
      </c>
      <c r="I400">
        <v>60</v>
      </c>
      <c r="J400" t="b">
        <f t="shared" si="6"/>
        <v>0</v>
      </c>
      <c r="M400" s="6" t="s">
        <v>751</v>
      </c>
      <c r="N400">
        <v>200</v>
      </c>
      <c r="V400" s="6">
        <v>383</v>
      </c>
      <c r="W400">
        <v>90</v>
      </c>
      <c r="Y400" s="6">
        <v>398</v>
      </c>
      <c r="Z400">
        <v>600</v>
      </c>
      <c r="AB400" s="6">
        <v>384</v>
      </c>
      <c r="AC400">
        <v>1</v>
      </c>
    </row>
    <row r="401" spans="1:29" x14ac:dyDescent="0.25">
      <c r="A401">
        <v>400</v>
      </c>
      <c r="B401" s="1">
        <v>44981</v>
      </c>
      <c r="C401" t="s">
        <v>428</v>
      </c>
      <c r="D401" t="s">
        <v>12</v>
      </c>
      <c r="E401">
        <v>53</v>
      </c>
      <c r="F401" t="s">
        <v>17</v>
      </c>
      <c r="G401">
        <v>4</v>
      </c>
      <c r="H401">
        <v>50</v>
      </c>
      <c r="I401">
        <v>200</v>
      </c>
      <c r="J401" t="str">
        <f t="shared" si="6"/>
        <v>46-60</v>
      </c>
      <c r="M401" s="6" t="s">
        <v>768</v>
      </c>
      <c r="N401">
        <v>200</v>
      </c>
      <c r="V401" s="6">
        <v>384</v>
      </c>
      <c r="W401">
        <v>500</v>
      </c>
      <c r="Y401" s="6">
        <v>399</v>
      </c>
      <c r="Z401">
        <v>60</v>
      </c>
      <c r="AB401" s="6">
        <v>385</v>
      </c>
      <c r="AC401">
        <v>3</v>
      </c>
    </row>
    <row r="402" spans="1:29" x14ac:dyDescent="0.25">
      <c r="A402">
        <v>401</v>
      </c>
      <c r="B402" s="1">
        <v>45210</v>
      </c>
      <c r="C402" t="s">
        <v>429</v>
      </c>
      <c r="D402" t="s">
        <v>16</v>
      </c>
      <c r="E402">
        <v>62</v>
      </c>
      <c r="F402" t="s">
        <v>17</v>
      </c>
      <c r="G402">
        <v>1</v>
      </c>
      <c r="H402">
        <v>300</v>
      </c>
      <c r="I402">
        <v>300</v>
      </c>
      <c r="J402" t="b">
        <f t="shared" si="6"/>
        <v>0</v>
      </c>
      <c r="M402" s="6" t="s">
        <v>888</v>
      </c>
      <c r="N402">
        <v>200</v>
      </c>
      <c r="V402" s="6">
        <v>385</v>
      </c>
      <c r="W402">
        <v>1500</v>
      </c>
      <c r="Y402" s="6">
        <v>400</v>
      </c>
      <c r="Z402">
        <v>200</v>
      </c>
      <c r="AB402" s="6">
        <v>386</v>
      </c>
      <c r="AC402">
        <v>2</v>
      </c>
    </row>
    <row r="403" spans="1:29" x14ac:dyDescent="0.25">
      <c r="A403">
        <v>402</v>
      </c>
      <c r="B403" s="1">
        <v>45006</v>
      </c>
      <c r="C403" t="s">
        <v>430</v>
      </c>
      <c r="D403" t="s">
        <v>16</v>
      </c>
      <c r="E403">
        <v>41</v>
      </c>
      <c r="F403" t="s">
        <v>17</v>
      </c>
      <c r="G403">
        <v>2</v>
      </c>
      <c r="H403">
        <v>300</v>
      </c>
      <c r="I403">
        <v>600</v>
      </c>
      <c r="J403" t="str">
        <f t="shared" si="6"/>
        <v>36-45</v>
      </c>
      <c r="M403" s="6" t="s">
        <v>999</v>
      </c>
      <c r="N403">
        <v>200</v>
      </c>
      <c r="V403" s="6">
        <v>386</v>
      </c>
      <c r="W403">
        <v>600</v>
      </c>
      <c r="Y403" s="6">
        <v>401</v>
      </c>
      <c r="Z403">
        <v>300</v>
      </c>
      <c r="AB403" s="6">
        <v>387</v>
      </c>
      <c r="AC403">
        <v>1</v>
      </c>
    </row>
    <row r="404" spans="1:29" x14ac:dyDescent="0.25">
      <c r="A404">
        <v>403</v>
      </c>
      <c r="B404" s="1">
        <v>45066</v>
      </c>
      <c r="C404" t="s">
        <v>431</v>
      </c>
      <c r="D404" t="s">
        <v>12</v>
      </c>
      <c r="E404">
        <v>32</v>
      </c>
      <c r="F404" t="s">
        <v>17</v>
      </c>
      <c r="G404">
        <v>2</v>
      </c>
      <c r="H404">
        <v>300</v>
      </c>
      <c r="I404">
        <v>600</v>
      </c>
      <c r="J404" t="str">
        <f t="shared" si="6"/>
        <v>26-35</v>
      </c>
      <c r="M404" s="6" t="s">
        <v>945</v>
      </c>
      <c r="N404">
        <v>200</v>
      </c>
      <c r="V404" s="6">
        <v>387</v>
      </c>
      <c r="W404">
        <v>30</v>
      </c>
      <c r="Y404" s="6">
        <v>402</v>
      </c>
      <c r="Z404">
        <v>600</v>
      </c>
      <c r="AB404" s="6">
        <v>388</v>
      </c>
      <c r="AC404">
        <v>1</v>
      </c>
    </row>
    <row r="405" spans="1:29" x14ac:dyDescent="0.25">
      <c r="A405">
        <v>404</v>
      </c>
      <c r="B405" s="1">
        <v>45071</v>
      </c>
      <c r="C405" t="s">
        <v>432</v>
      </c>
      <c r="D405" t="s">
        <v>12</v>
      </c>
      <c r="E405">
        <v>46</v>
      </c>
      <c r="F405" t="s">
        <v>20</v>
      </c>
      <c r="G405">
        <v>2</v>
      </c>
      <c r="H405">
        <v>500</v>
      </c>
      <c r="I405">
        <v>1000</v>
      </c>
      <c r="J405" t="str">
        <f t="shared" si="6"/>
        <v>46-60</v>
      </c>
      <c r="M405" s="6" t="s">
        <v>714</v>
      </c>
      <c r="N405">
        <v>200</v>
      </c>
      <c r="V405" s="6">
        <v>388</v>
      </c>
      <c r="W405">
        <v>25</v>
      </c>
      <c r="Y405" s="6">
        <v>403</v>
      </c>
      <c r="Z405">
        <v>600</v>
      </c>
      <c r="AB405" s="6">
        <v>389</v>
      </c>
      <c r="AC405">
        <v>2</v>
      </c>
    </row>
    <row r="406" spans="1:29" x14ac:dyDescent="0.25">
      <c r="A406">
        <v>405</v>
      </c>
      <c r="B406" s="1">
        <v>45236</v>
      </c>
      <c r="C406" t="s">
        <v>433</v>
      </c>
      <c r="D406" t="s">
        <v>16</v>
      </c>
      <c r="E406">
        <v>25</v>
      </c>
      <c r="F406" t="s">
        <v>17</v>
      </c>
      <c r="G406">
        <v>4</v>
      </c>
      <c r="H406">
        <v>300</v>
      </c>
      <c r="I406">
        <v>1200</v>
      </c>
      <c r="J406" t="str">
        <f t="shared" si="6"/>
        <v>18-25</v>
      </c>
      <c r="M406" s="6" t="s">
        <v>724</v>
      </c>
      <c r="N406">
        <v>200</v>
      </c>
      <c r="V406" s="6">
        <v>389</v>
      </c>
      <c r="W406">
        <v>50</v>
      </c>
      <c r="Y406" s="6">
        <v>404</v>
      </c>
      <c r="Z406">
        <v>1000</v>
      </c>
      <c r="AB406" s="6">
        <v>390</v>
      </c>
      <c r="AC406">
        <v>2</v>
      </c>
    </row>
    <row r="407" spans="1:29" x14ac:dyDescent="0.25">
      <c r="A407">
        <v>406</v>
      </c>
      <c r="B407" s="1">
        <v>45034</v>
      </c>
      <c r="C407" t="s">
        <v>434</v>
      </c>
      <c r="D407" t="s">
        <v>16</v>
      </c>
      <c r="E407">
        <v>22</v>
      </c>
      <c r="F407" t="s">
        <v>13</v>
      </c>
      <c r="G407">
        <v>4</v>
      </c>
      <c r="H407">
        <v>25</v>
      </c>
      <c r="I407">
        <v>100</v>
      </c>
      <c r="J407" t="str">
        <f t="shared" si="6"/>
        <v>18-25</v>
      </c>
      <c r="M407" s="6" t="s">
        <v>958</v>
      </c>
      <c r="N407">
        <v>200</v>
      </c>
      <c r="V407" s="6">
        <v>390</v>
      </c>
      <c r="W407">
        <v>100</v>
      </c>
      <c r="Y407" s="6">
        <v>405</v>
      </c>
      <c r="Z407">
        <v>1200</v>
      </c>
      <c r="AB407" s="6">
        <v>391</v>
      </c>
      <c r="AC407">
        <v>2</v>
      </c>
    </row>
    <row r="408" spans="1:29" x14ac:dyDescent="0.25">
      <c r="A408">
        <v>407</v>
      </c>
      <c r="B408" s="1">
        <v>45102</v>
      </c>
      <c r="C408" t="s">
        <v>435</v>
      </c>
      <c r="D408" t="s">
        <v>16</v>
      </c>
      <c r="E408">
        <v>46</v>
      </c>
      <c r="F408" t="s">
        <v>20</v>
      </c>
      <c r="G408">
        <v>3</v>
      </c>
      <c r="H408">
        <v>300</v>
      </c>
      <c r="I408">
        <v>900</v>
      </c>
      <c r="J408" t="str">
        <f t="shared" si="6"/>
        <v>46-60</v>
      </c>
      <c r="M408" s="6" t="s">
        <v>863</v>
      </c>
      <c r="N408">
        <v>200</v>
      </c>
      <c r="V408" s="6">
        <v>391</v>
      </c>
      <c r="W408">
        <v>50</v>
      </c>
      <c r="Y408" s="6">
        <v>406</v>
      </c>
      <c r="Z408">
        <v>100</v>
      </c>
      <c r="AB408" s="6">
        <v>392</v>
      </c>
      <c r="AC408">
        <v>2</v>
      </c>
    </row>
    <row r="409" spans="1:29" x14ac:dyDescent="0.25">
      <c r="A409">
        <v>408</v>
      </c>
      <c r="B409" s="1">
        <v>45031</v>
      </c>
      <c r="C409" t="s">
        <v>436</v>
      </c>
      <c r="D409" t="s">
        <v>16</v>
      </c>
      <c r="E409">
        <v>64</v>
      </c>
      <c r="F409" t="s">
        <v>13</v>
      </c>
      <c r="G409">
        <v>1</v>
      </c>
      <c r="H409">
        <v>500</v>
      </c>
      <c r="I409">
        <v>500</v>
      </c>
      <c r="J409" t="b">
        <f t="shared" si="6"/>
        <v>0</v>
      </c>
      <c r="M409" s="6" t="s">
        <v>964</v>
      </c>
      <c r="N409">
        <v>200</v>
      </c>
      <c r="V409" s="6">
        <v>392</v>
      </c>
      <c r="W409">
        <v>600</v>
      </c>
      <c r="Y409" s="6">
        <v>407</v>
      </c>
      <c r="Z409">
        <v>900</v>
      </c>
      <c r="AB409" s="6">
        <v>393</v>
      </c>
      <c r="AC409">
        <v>2</v>
      </c>
    </row>
    <row r="410" spans="1:29" x14ac:dyDescent="0.25">
      <c r="A410">
        <v>409</v>
      </c>
      <c r="B410" s="1">
        <v>45278</v>
      </c>
      <c r="C410" t="s">
        <v>437</v>
      </c>
      <c r="D410" t="s">
        <v>16</v>
      </c>
      <c r="E410">
        <v>21</v>
      </c>
      <c r="F410" t="s">
        <v>20</v>
      </c>
      <c r="G410">
        <v>3</v>
      </c>
      <c r="H410">
        <v>300</v>
      </c>
      <c r="I410">
        <v>900</v>
      </c>
      <c r="J410" t="str">
        <f t="shared" si="6"/>
        <v>18-25</v>
      </c>
      <c r="M410" s="6" t="s">
        <v>829</v>
      </c>
      <c r="N410">
        <v>200</v>
      </c>
      <c r="V410" s="6">
        <v>393</v>
      </c>
      <c r="W410">
        <v>1000</v>
      </c>
      <c r="Y410" s="6">
        <v>408</v>
      </c>
      <c r="Z410">
        <v>500</v>
      </c>
      <c r="AB410" s="6">
        <v>394</v>
      </c>
      <c r="AC410">
        <v>1</v>
      </c>
    </row>
    <row r="411" spans="1:29" x14ac:dyDescent="0.25">
      <c r="A411">
        <v>410</v>
      </c>
      <c r="B411" s="1">
        <v>45251</v>
      </c>
      <c r="C411" t="s">
        <v>438</v>
      </c>
      <c r="D411" t="s">
        <v>16</v>
      </c>
      <c r="E411">
        <v>29</v>
      </c>
      <c r="F411" t="s">
        <v>17</v>
      </c>
      <c r="G411">
        <v>2</v>
      </c>
      <c r="H411">
        <v>50</v>
      </c>
      <c r="I411">
        <v>100</v>
      </c>
      <c r="J411" t="str">
        <f t="shared" si="6"/>
        <v>26-35</v>
      </c>
      <c r="M411" s="6" t="s">
        <v>1003</v>
      </c>
      <c r="N411">
        <v>200</v>
      </c>
      <c r="V411" s="6">
        <v>394</v>
      </c>
      <c r="W411">
        <v>500</v>
      </c>
      <c r="Y411" s="6">
        <v>409</v>
      </c>
      <c r="Z411">
        <v>900</v>
      </c>
      <c r="AB411" s="6">
        <v>395</v>
      </c>
      <c r="AC411">
        <v>2</v>
      </c>
    </row>
    <row r="412" spans="1:29" x14ac:dyDescent="0.25">
      <c r="A412">
        <v>411</v>
      </c>
      <c r="B412" s="1">
        <v>45062</v>
      </c>
      <c r="C412" t="s">
        <v>439</v>
      </c>
      <c r="D412" t="s">
        <v>12</v>
      </c>
      <c r="E412">
        <v>62</v>
      </c>
      <c r="F412" t="s">
        <v>20</v>
      </c>
      <c r="G412">
        <v>4</v>
      </c>
      <c r="H412">
        <v>50</v>
      </c>
      <c r="I412">
        <v>200</v>
      </c>
      <c r="J412" t="b">
        <f t="shared" si="6"/>
        <v>0</v>
      </c>
      <c r="M412" s="6" t="s">
        <v>989</v>
      </c>
      <c r="N412">
        <v>200</v>
      </c>
      <c r="V412" s="6">
        <v>395</v>
      </c>
      <c r="W412">
        <v>1000</v>
      </c>
      <c r="Y412" s="6">
        <v>410</v>
      </c>
      <c r="Z412">
        <v>100</v>
      </c>
      <c r="AB412" s="6">
        <v>396</v>
      </c>
      <c r="AC412">
        <v>1</v>
      </c>
    </row>
    <row r="413" spans="1:29" x14ac:dyDescent="0.25">
      <c r="A413">
        <v>412</v>
      </c>
      <c r="B413" s="1">
        <v>45185</v>
      </c>
      <c r="C413" t="s">
        <v>440</v>
      </c>
      <c r="D413" t="s">
        <v>16</v>
      </c>
      <c r="E413">
        <v>19</v>
      </c>
      <c r="F413" t="s">
        <v>20</v>
      </c>
      <c r="G413">
        <v>4</v>
      </c>
      <c r="H413">
        <v>500</v>
      </c>
      <c r="I413">
        <v>2000</v>
      </c>
      <c r="J413" t="str">
        <f t="shared" si="6"/>
        <v>18-25</v>
      </c>
      <c r="M413" s="6" t="s">
        <v>966</v>
      </c>
      <c r="N413">
        <v>200</v>
      </c>
      <c r="V413" s="6">
        <v>396</v>
      </c>
      <c r="W413">
        <v>30</v>
      </c>
      <c r="Y413" s="6">
        <v>411</v>
      </c>
      <c r="Z413">
        <v>200</v>
      </c>
      <c r="AB413" s="6">
        <v>397</v>
      </c>
      <c r="AC413">
        <v>1</v>
      </c>
    </row>
    <row r="414" spans="1:29" x14ac:dyDescent="0.25">
      <c r="A414">
        <v>413</v>
      </c>
      <c r="B414" s="1">
        <v>45177</v>
      </c>
      <c r="C414" t="s">
        <v>441</v>
      </c>
      <c r="D414" t="s">
        <v>16</v>
      </c>
      <c r="E414">
        <v>44</v>
      </c>
      <c r="F414" t="s">
        <v>13</v>
      </c>
      <c r="G414">
        <v>3</v>
      </c>
      <c r="H414">
        <v>25</v>
      </c>
      <c r="I414">
        <v>75</v>
      </c>
      <c r="J414" t="str">
        <f t="shared" si="6"/>
        <v>36-45</v>
      </c>
      <c r="M414" s="6" t="s">
        <v>845</v>
      </c>
      <c r="N414">
        <v>200</v>
      </c>
      <c r="V414" s="6">
        <v>397</v>
      </c>
      <c r="W414">
        <v>25</v>
      </c>
      <c r="Y414" s="6">
        <v>412</v>
      </c>
      <c r="Z414">
        <v>2000</v>
      </c>
      <c r="AB414" s="6">
        <v>398</v>
      </c>
      <c r="AC414">
        <v>2</v>
      </c>
    </row>
    <row r="415" spans="1:29" x14ac:dyDescent="0.25">
      <c r="A415">
        <v>414</v>
      </c>
      <c r="B415" s="1">
        <v>45055</v>
      </c>
      <c r="C415" t="s">
        <v>442</v>
      </c>
      <c r="D415" t="s">
        <v>12</v>
      </c>
      <c r="E415">
        <v>48</v>
      </c>
      <c r="F415" t="s">
        <v>13</v>
      </c>
      <c r="G415">
        <v>4</v>
      </c>
      <c r="H415">
        <v>25</v>
      </c>
      <c r="I415">
        <v>100</v>
      </c>
      <c r="J415" t="str">
        <f t="shared" si="6"/>
        <v>46-60</v>
      </c>
      <c r="M415" s="6" t="s">
        <v>813</v>
      </c>
      <c r="N415">
        <v>200</v>
      </c>
      <c r="V415" s="6">
        <v>398</v>
      </c>
      <c r="W415">
        <v>600</v>
      </c>
      <c r="Y415" s="6">
        <v>413</v>
      </c>
      <c r="Z415">
        <v>75</v>
      </c>
      <c r="AB415" s="6">
        <v>399</v>
      </c>
      <c r="AC415">
        <v>2</v>
      </c>
    </row>
    <row r="416" spans="1:29" x14ac:dyDescent="0.25">
      <c r="A416">
        <v>415</v>
      </c>
      <c r="B416" s="1">
        <v>44953</v>
      </c>
      <c r="C416" t="s">
        <v>443</v>
      </c>
      <c r="D416" t="s">
        <v>12</v>
      </c>
      <c r="E416">
        <v>53</v>
      </c>
      <c r="F416" t="s">
        <v>17</v>
      </c>
      <c r="G416">
        <v>2</v>
      </c>
      <c r="H416">
        <v>30</v>
      </c>
      <c r="I416">
        <v>60</v>
      </c>
      <c r="J416" t="str">
        <f t="shared" si="6"/>
        <v>46-60</v>
      </c>
      <c r="M416" s="6" t="s">
        <v>993</v>
      </c>
      <c r="N416">
        <v>200</v>
      </c>
      <c r="V416" s="6">
        <v>399</v>
      </c>
      <c r="W416">
        <v>60</v>
      </c>
      <c r="Y416" s="6">
        <v>414</v>
      </c>
      <c r="Z416">
        <v>100</v>
      </c>
      <c r="AB416" s="6">
        <v>400</v>
      </c>
      <c r="AC416">
        <v>4</v>
      </c>
    </row>
    <row r="417" spans="1:29" x14ac:dyDescent="0.25">
      <c r="A417">
        <v>416</v>
      </c>
      <c r="B417" s="1">
        <v>44974</v>
      </c>
      <c r="C417" t="s">
        <v>444</v>
      </c>
      <c r="D417" t="s">
        <v>12</v>
      </c>
      <c r="E417">
        <v>53</v>
      </c>
      <c r="F417" t="s">
        <v>20</v>
      </c>
      <c r="G417">
        <v>4</v>
      </c>
      <c r="H417">
        <v>500</v>
      </c>
      <c r="I417">
        <v>2000</v>
      </c>
      <c r="J417" t="str">
        <f t="shared" si="6"/>
        <v>46-60</v>
      </c>
      <c r="M417" s="6" t="s">
        <v>793</v>
      </c>
      <c r="N417">
        <v>200</v>
      </c>
      <c r="V417" s="6">
        <v>400</v>
      </c>
      <c r="W417">
        <v>200</v>
      </c>
      <c r="Y417" s="6">
        <v>415</v>
      </c>
      <c r="Z417">
        <v>60</v>
      </c>
      <c r="AB417" s="6">
        <v>401</v>
      </c>
      <c r="AC417">
        <v>1</v>
      </c>
    </row>
    <row r="418" spans="1:29" x14ac:dyDescent="0.25">
      <c r="A418">
        <v>417</v>
      </c>
      <c r="B418" s="1">
        <v>45251</v>
      </c>
      <c r="C418" t="s">
        <v>445</v>
      </c>
      <c r="D418" t="s">
        <v>12</v>
      </c>
      <c r="E418">
        <v>43</v>
      </c>
      <c r="F418" t="s">
        <v>20</v>
      </c>
      <c r="G418">
        <v>3</v>
      </c>
      <c r="H418">
        <v>300</v>
      </c>
      <c r="I418">
        <v>900</v>
      </c>
      <c r="J418" t="str">
        <f t="shared" si="6"/>
        <v>36-45</v>
      </c>
      <c r="M418" s="6" t="s">
        <v>835</v>
      </c>
      <c r="N418">
        <v>200</v>
      </c>
      <c r="V418" s="6">
        <v>401</v>
      </c>
      <c r="W418">
        <v>300</v>
      </c>
      <c r="Y418" s="6">
        <v>416</v>
      </c>
      <c r="Z418">
        <v>2000</v>
      </c>
      <c r="AB418" s="6">
        <v>402</v>
      </c>
      <c r="AC418">
        <v>2</v>
      </c>
    </row>
    <row r="419" spans="1:29" x14ac:dyDescent="0.25">
      <c r="A419">
        <v>418</v>
      </c>
      <c r="B419" s="1">
        <v>45143</v>
      </c>
      <c r="C419" t="s">
        <v>446</v>
      </c>
      <c r="D419" t="s">
        <v>16</v>
      </c>
      <c r="E419">
        <v>60</v>
      </c>
      <c r="F419" t="s">
        <v>20</v>
      </c>
      <c r="G419">
        <v>2</v>
      </c>
      <c r="H419">
        <v>500</v>
      </c>
      <c r="I419">
        <v>1000</v>
      </c>
      <c r="J419" t="str">
        <f t="shared" si="6"/>
        <v>46-60</v>
      </c>
      <c r="M419" s="6" t="s">
        <v>848</v>
      </c>
      <c r="N419">
        <v>200</v>
      </c>
      <c r="V419" s="6">
        <v>402</v>
      </c>
      <c r="W419">
        <v>600</v>
      </c>
      <c r="Y419" s="6">
        <v>417</v>
      </c>
      <c r="Z419">
        <v>900</v>
      </c>
      <c r="AB419" s="6">
        <v>403</v>
      </c>
      <c r="AC419">
        <v>2</v>
      </c>
    </row>
    <row r="420" spans="1:29" x14ac:dyDescent="0.25">
      <c r="A420">
        <v>419</v>
      </c>
      <c r="B420" s="1">
        <v>45068</v>
      </c>
      <c r="C420" t="s">
        <v>447</v>
      </c>
      <c r="D420" t="s">
        <v>16</v>
      </c>
      <c r="E420">
        <v>44</v>
      </c>
      <c r="F420" t="s">
        <v>17</v>
      </c>
      <c r="G420">
        <v>3</v>
      </c>
      <c r="H420">
        <v>30</v>
      </c>
      <c r="I420">
        <v>90</v>
      </c>
      <c r="J420" t="str">
        <f t="shared" si="6"/>
        <v>36-45</v>
      </c>
      <c r="M420" s="6" t="s">
        <v>861</v>
      </c>
      <c r="N420">
        <v>200</v>
      </c>
      <c r="V420" s="6">
        <v>403</v>
      </c>
      <c r="W420">
        <v>600</v>
      </c>
      <c r="Y420" s="6">
        <v>418</v>
      </c>
      <c r="Z420">
        <v>1000</v>
      </c>
      <c r="AB420" s="6">
        <v>404</v>
      </c>
      <c r="AC420">
        <v>2</v>
      </c>
    </row>
    <row r="421" spans="1:29" x14ac:dyDescent="0.25">
      <c r="A421">
        <v>420</v>
      </c>
      <c r="B421" s="1">
        <v>44949</v>
      </c>
      <c r="C421" t="s">
        <v>448</v>
      </c>
      <c r="D421" t="s">
        <v>16</v>
      </c>
      <c r="E421">
        <v>22</v>
      </c>
      <c r="F421" t="s">
        <v>17</v>
      </c>
      <c r="G421">
        <v>4</v>
      </c>
      <c r="H421">
        <v>500</v>
      </c>
      <c r="I421">
        <v>2000</v>
      </c>
      <c r="J421" t="str">
        <f t="shared" si="6"/>
        <v>18-25</v>
      </c>
      <c r="M421" s="6" t="s">
        <v>369</v>
      </c>
      <c r="N421">
        <v>200</v>
      </c>
      <c r="V421" s="6">
        <v>404</v>
      </c>
      <c r="W421">
        <v>1000</v>
      </c>
      <c r="Y421" s="6">
        <v>419</v>
      </c>
      <c r="Z421">
        <v>90</v>
      </c>
      <c r="AB421" s="6">
        <v>405</v>
      </c>
      <c r="AC421">
        <v>4</v>
      </c>
    </row>
    <row r="422" spans="1:29" x14ac:dyDescent="0.25">
      <c r="A422">
        <v>421</v>
      </c>
      <c r="B422" s="1">
        <v>44928</v>
      </c>
      <c r="C422" t="s">
        <v>449</v>
      </c>
      <c r="D422" t="s">
        <v>16</v>
      </c>
      <c r="E422">
        <v>37</v>
      </c>
      <c r="F422" t="s">
        <v>17</v>
      </c>
      <c r="G422">
        <v>3</v>
      </c>
      <c r="H422">
        <v>500</v>
      </c>
      <c r="I422">
        <v>1500</v>
      </c>
      <c r="J422" t="str">
        <f t="shared" si="6"/>
        <v>36-45</v>
      </c>
      <c r="M422" s="6" t="s">
        <v>439</v>
      </c>
      <c r="N422">
        <v>200</v>
      </c>
      <c r="V422" s="6">
        <v>405</v>
      </c>
      <c r="W422">
        <v>1200</v>
      </c>
      <c r="Y422" s="6">
        <v>420</v>
      </c>
      <c r="Z422">
        <v>2000</v>
      </c>
      <c r="AB422" s="6">
        <v>406</v>
      </c>
      <c r="AC422">
        <v>4</v>
      </c>
    </row>
    <row r="423" spans="1:29" x14ac:dyDescent="0.25">
      <c r="A423">
        <v>422</v>
      </c>
      <c r="B423" s="1">
        <v>45097</v>
      </c>
      <c r="C423" t="s">
        <v>450</v>
      </c>
      <c r="D423" t="s">
        <v>16</v>
      </c>
      <c r="E423">
        <v>28</v>
      </c>
      <c r="F423" t="s">
        <v>17</v>
      </c>
      <c r="G423">
        <v>3</v>
      </c>
      <c r="H423">
        <v>30</v>
      </c>
      <c r="I423">
        <v>90</v>
      </c>
      <c r="J423" t="str">
        <f t="shared" si="6"/>
        <v>26-35</v>
      </c>
      <c r="M423" s="6" t="s">
        <v>456</v>
      </c>
      <c r="N423">
        <v>200</v>
      </c>
      <c r="V423" s="6">
        <v>406</v>
      </c>
      <c r="W423">
        <v>100</v>
      </c>
      <c r="Y423" s="6">
        <v>421</v>
      </c>
      <c r="Z423">
        <v>1500</v>
      </c>
      <c r="AB423" s="6">
        <v>407</v>
      </c>
      <c r="AC423">
        <v>3</v>
      </c>
    </row>
    <row r="424" spans="1:29" x14ac:dyDescent="0.25">
      <c r="A424">
        <v>423</v>
      </c>
      <c r="B424" s="1">
        <v>44993</v>
      </c>
      <c r="C424" t="s">
        <v>451</v>
      </c>
      <c r="D424" t="s">
        <v>16</v>
      </c>
      <c r="E424">
        <v>27</v>
      </c>
      <c r="F424" t="s">
        <v>17</v>
      </c>
      <c r="G424">
        <v>1</v>
      </c>
      <c r="H424">
        <v>25</v>
      </c>
      <c r="I424">
        <v>25</v>
      </c>
      <c r="J424" t="str">
        <f t="shared" si="6"/>
        <v>26-35</v>
      </c>
      <c r="M424" s="6" t="s">
        <v>405</v>
      </c>
      <c r="N424">
        <v>200</v>
      </c>
      <c r="V424" s="6">
        <v>407</v>
      </c>
      <c r="W424">
        <v>900</v>
      </c>
      <c r="Y424" s="6">
        <v>422</v>
      </c>
      <c r="Z424">
        <v>90</v>
      </c>
      <c r="AB424" s="6">
        <v>408</v>
      </c>
      <c r="AC424">
        <v>1</v>
      </c>
    </row>
    <row r="425" spans="1:29" x14ac:dyDescent="0.25">
      <c r="A425">
        <v>424</v>
      </c>
      <c r="B425" s="1">
        <v>45253</v>
      </c>
      <c r="C425" t="s">
        <v>452</v>
      </c>
      <c r="D425" t="s">
        <v>12</v>
      </c>
      <c r="E425">
        <v>57</v>
      </c>
      <c r="F425" t="s">
        <v>13</v>
      </c>
      <c r="G425">
        <v>4</v>
      </c>
      <c r="H425">
        <v>300</v>
      </c>
      <c r="I425">
        <v>1200</v>
      </c>
      <c r="J425" t="str">
        <f t="shared" si="6"/>
        <v>46-60</v>
      </c>
      <c r="M425" s="6" t="s">
        <v>656</v>
      </c>
      <c r="N425">
        <v>200</v>
      </c>
      <c r="V425" s="6">
        <v>408</v>
      </c>
      <c r="W425">
        <v>500</v>
      </c>
      <c r="Y425" s="6">
        <v>423</v>
      </c>
      <c r="Z425">
        <v>25</v>
      </c>
      <c r="AB425" s="6">
        <v>409</v>
      </c>
      <c r="AC425">
        <v>3</v>
      </c>
    </row>
    <row r="426" spans="1:29" x14ac:dyDescent="0.25">
      <c r="A426">
        <v>425</v>
      </c>
      <c r="B426" s="1">
        <v>45061</v>
      </c>
      <c r="C426" t="s">
        <v>453</v>
      </c>
      <c r="D426" t="s">
        <v>16</v>
      </c>
      <c r="E426">
        <v>55</v>
      </c>
      <c r="F426" t="s">
        <v>20</v>
      </c>
      <c r="G426">
        <v>4</v>
      </c>
      <c r="H426">
        <v>30</v>
      </c>
      <c r="I426">
        <v>120</v>
      </c>
      <c r="J426" t="str">
        <f t="shared" si="6"/>
        <v>46-60</v>
      </c>
      <c r="M426" s="6" t="s">
        <v>574</v>
      </c>
      <c r="N426">
        <v>200</v>
      </c>
      <c r="V426" s="6">
        <v>409</v>
      </c>
      <c r="W426">
        <v>900</v>
      </c>
      <c r="Y426" s="6">
        <v>424</v>
      </c>
      <c r="Z426">
        <v>1200</v>
      </c>
      <c r="AB426" s="6">
        <v>410</v>
      </c>
      <c r="AC426">
        <v>2</v>
      </c>
    </row>
    <row r="427" spans="1:29" x14ac:dyDescent="0.25">
      <c r="A427">
        <v>426</v>
      </c>
      <c r="B427" s="1">
        <v>45009</v>
      </c>
      <c r="C427" t="s">
        <v>454</v>
      </c>
      <c r="D427" t="s">
        <v>12</v>
      </c>
      <c r="E427">
        <v>23</v>
      </c>
      <c r="F427" t="s">
        <v>20</v>
      </c>
      <c r="G427">
        <v>3</v>
      </c>
      <c r="H427">
        <v>50</v>
      </c>
      <c r="I427">
        <v>150</v>
      </c>
      <c r="J427" t="str">
        <f t="shared" si="6"/>
        <v>18-25</v>
      </c>
      <c r="M427" s="6" t="s">
        <v>612</v>
      </c>
      <c r="N427">
        <v>200</v>
      </c>
      <c r="V427" s="6">
        <v>410</v>
      </c>
      <c r="W427">
        <v>100</v>
      </c>
      <c r="Y427" s="6">
        <v>425</v>
      </c>
      <c r="Z427">
        <v>120</v>
      </c>
      <c r="AB427" s="6">
        <v>411</v>
      </c>
      <c r="AC427">
        <v>4</v>
      </c>
    </row>
    <row r="428" spans="1:29" x14ac:dyDescent="0.25">
      <c r="A428">
        <v>427</v>
      </c>
      <c r="B428" s="1">
        <v>45153</v>
      </c>
      <c r="C428" t="s">
        <v>455</v>
      </c>
      <c r="D428" t="s">
        <v>12</v>
      </c>
      <c r="E428">
        <v>25</v>
      </c>
      <c r="F428" t="s">
        <v>20</v>
      </c>
      <c r="G428">
        <v>1</v>
      </c>
      <c r="H428">
        <v>25</v>
      </c>
      <c r="I428">
        <v>25</v>
      </c>
      <c r="J428" t="str">
        <f t="shared" si="6"/>
        <v>18-25</v>
      </c>
      <c r="M428" s="6" t="s">
        <v>428</v>
      </c>
      <c r="N428">
        <v>200</v>
      </c>
      <c r="V428" s="6">
        <v>411</v>
      </c>
      <c r="W428">
        <v>200</v>
      </c>
      <c r="Y428" s="6">
        <v>426</v>
      </c>
      <c r="Z428">
        <v>150</v>
      </c>
      <c r="AB428" s="6">
        <v>412</v>
      </c>
      <c r="AC428">
        <v>4</v>
      </c>
    </row>
    <row r="429" spans="1:29" x14ac:dyDescent="0.25">
      <c r="A429">
        <v>428</v>
      </c>
      <c r="B429" s="1">
        <v>45209</v>
      </c>
      <c r="C429" t="s">
        <v>456</v>
      </c>
      <c r="D429" t="s">
        <v>16</v>
      </c>
      <c r="E429">
        <v>40</v>
      </c>
      <c r="F429" t="s">
        <v>20</v>
      </c>
      <c r="G429">
        <v>4</v>
      </c>
      <c r="H429">
        <v>50</v>
      </c>
      <c r="I429">
        <v>200</v>
      </c>
      <c r="J429" t="str">
        <f t="shared" si="6"/>
        <v>36-45</v>
      </c>
      <c r="M429" s="6" t="s">
        <v>538</v>
      </c>
      <c r="N429">
        <v>200</v>
      </c>
      <c r="V429" s="6">
        <v>412</v>
      </c>
      <c r="W429">
        <v>2000</v>
      </c>
      <c r="Y429" s="6">
        <v>427</v>
      </c>
      <c r="Z429">
        <v>25</v>
      </c>
      <c r="AB429" s="6">
        <v>413</v>
      </c>
      <c r="AC429">
        <v>3</v>
      </c>
    </row>
    <row r="430" spans="1:29" x14ac:dyDescent="0.25">
      <c r="A430">
        <v>429</v>
      </c>
      <c r="B430" s="1">
        <v>45288</v>
      </c>
      <c r="C430" t="s">
        <v>457</v>
      </c>
      <c r="D430" t="s">
        <v>12</v>
      </c>
      <c r="E430">
        <v>64</v>
      </c>
      <c r="F430" t="s">
        <v>20</v>
      </c>
      <c r="G430">
        <v>2</v>
      </c>
      <c r="H430">
        <v>25</v>
      </c>
      <c r="I430">
        <v>50</v>
      </c>
      <c r="J430" t="b">
        <f t="shared" si="6"/>
        <v>0</v>
      </c>
      <c r="M430" s="6" t="s">
        <v>477</v>
      </c>
      <c r="N430">
        <v>200</v>
      </c>
      <c r="V430" s="6">
        <v>413</v>
      </c>
      <c r="W430">
        <v>75</v>
      </c>
      <c r="Y430" s="6">
        <v>428</v>
      </c>
      <c r="Z430">
        <v>200</v>
      </c>
      <c r="AB430" s="6">
        <v>414</v>
      </c>
      <c r="AC430">
        <v>4</v>
      </c>
    </row>
    <row r="431" spans="1:29" x14ac:dyDescent="0.25">
      <c r="A431">
        <v>430</v>
      </c>
      <c r="B431" s="1">
        <v>45145</v>
      </c>
      <c r="C431" t="s">
        <v>458</v>
      </c>
      <c r="D431" t="s">
        <v>16</v>
      </c>
      <c r="E431">
        <v>43</v>
      </c>
      <c r="F431" t="s">
        <v>20</v>
      </c>
      <c r="G431">
        <v>3</v>
      </c>
      <c r="H431">
        <v>300</v>
      </c>
      <c r="I431">
        <v>900</v>
      </c>
      <c r="J431" t="str">
        <f t="shared" si="6"/>
        <v>36-45</v>
      </c>
      <c r="M431" s="6" t="s">
        <v>461</v>
      </c>
      <c r="N431">
        <v>200</v>
      </c>
      <c r="V431" s="6">
        <v>414</v>
      </c>
      <c r="W431">
        <v>100</v>
      </c>
      <c r="Y431" s="6">
        <v>429</v>
      </c>
      <c r="Z431">
        <v>50</v>
      </c>
      <c r="AB431" s="6">
        <v>415</v>
      </c>
      <c r="AC431">
        <v>2</v>
      </c>
    </row>
    <row r="432" spans="1:29" x14ac:dyDescent="0.25">
      <c r="A432">
        <v>431</v>
      </c>
      <c r="B432" s="1">
        <v>45214</v>
      </c>
      <c r="C432" t="s">
        <v>459</v>
      </c>
      <c r="D432" t="s">
        <v>12</v>
      </c>
      <c r="E432">
        <v>63</v>
      </c>
      <c r="F432" t="s">
        <v>20</v>
      </c>
      <c r="G432">
        <v>4</v>
      </c>
      <c r="H432">
        <v>300</v>
      </c>
      <c r="I432">
        <v>1200</v>
      </c>
      <c r="J432" t="b">
        <f t="shared" si="6"/>
        <v>0</v>
      </c>
      <c r="M432" s="6" t="s">
        <v>597</v>
      </c>
      <c r="N432">
        <v>200</v>
      </c>
      <c r="V432" s="6">
        <v>415</v>
      </c>
      <c r="W432">
        <v>60</v>
      </c>
      <c r="Y432" s="6">
        <v>430</v>
      </c>
      <c r="Z432">
        <v>900</v>
      </c>
      <c r="AB432" s="6">
        <v>416</v>
      </c>
      <c r="AC432">
        <v>4</v>
      </c>
    </row>
    <row r="433" spans="1:29" x14ac:dyDescent="0.25">
      <c r="A433">
        <v>432</v>
      </c>
      <c r="B433" s="1">
        <v>44931</v>
      </c>
      <c r="C433" t="s">
        <v>460</v>
      </c>
      <c r="D433" t="s">
        <v>16</v>
      </c>
      <c r="E433">
        <v>60</v>
      </c>
      <c r="F433" t="s">
        <v>20</v>
      </c>
      <c r="G433">
        <v>2</v>
      </c>
      <c r="H433">
        <v>500</v>
      </c>
      <c r="I433">
        <v>1000</v>
      </c>
      <c r="J433" t="str">
        <f t="shared" si="6"/>
        <v>46-60</v>
      </c>
      <c r="M433" s="6" t="s">
        <v>667</v>
      </c>
      <c r="N433">
        <v>200</v>
      </c>
      <c r="V433" s="6">
        <v>416</v>
      </c>
      <c r="W433">
        <v>2000</v>
      </c>
      <c r="Y433" s="6">
        <v>431</v>
      </c>
      <c r="Z433">
        <v>1200</v>
      </c>
      <c r="AB433" s="6">
        <v>417</v>
      </c>
      <c r="AC433">
        <v>3</v>
      </c>
    </row>
    <row r="434" spans="1:29" x14ac:dyDescent="0.25">
      <c r="A434">
        <v>433</v>
      </c>
      <c r="B434" s="1">
        <v>44984</v>
      </c>
      <c r="C434" t="s">
        <v>461</v>
      </c>
      <c r="D434" t="s">
        <v>12</v>
      </c>
      <c r="E434">
        <v>29</v>
      </c>
      <c r="F434" t="s">
        <v>13</v>
      </c>
      <c r="G434">
        <v>4</v>
      </c>
      <c r="H434">
        <v>50</v>
      </c>
      <c r="I434">
        <v>200</v>
      </c>
      <c r="J434" t="str">
        <f t="shared" si="6"/>
        <v>26-35</v>
      </c>
      <c r="M434" s="6" t="s">
        <v>522</v>
      </c>
      <c r="N434">
        <v>200</v>
      </c>
      <c r="V434" s="6">
        <v>417</v>
      </c>
      <c r="W434">
        <v>900</v>
      </c>
      <c r="Y434" s="6">
        <v>432</v>
      </c>
      <c r="Z434">
        <v>1000</v>
      </c>
      <c r="AB434" s="6">
        <v>418</v>
      </c>
      <c r="AC434">
        <v>2</v>
      </c>
    </row>
    <row r="435" spans="1:29" x14ac:dyDescent="0.25">
      <c r="A435">
        <v>434</v>
      </c>
      <c r="B435" s="1">
        <v>44965</v>
      </c>
      <c r="C435" t="s">
        <v>462</v>
      </c>
      <c r="D435" t="s">
        <v>16</v>
      </c>
      <c r="E435">
        <v>43</v>
      </c>
      <c r="F435" t="s">
        <v>20</v>
      </c>
      <c r="G435">
        <v>2</v>
      </c>
      <c r="H435">
        <v>25</v>
      </c>
      <c r="I435">
        <v>50</v>
      </c>
      <c r="J435" t="str">
        <f t="shared" si="6"/>
        <v>36-45</v>
      </c>
      <c r="M435" s="6" t="s">
        <v>382</v>
      </c>
      <c r="N435">
        <v>200</v>
      </c>
      <c r="V435" s="6">
        <v>418</v>
      </c>
      <c r="W435">
        <v>1000</v>
      </c>
      <c r="Y435" s="6">
        <v>433</v>
      </c>
      <c r="Z435">
        <v>200</v>
      </c>
      <c r="AB435" s="6">
        <v>419</v>
      </c>
      <c r="AC435">
        <v>3</v>
      </c>
    </row>
    <row r="436" spans="1:29" x14ac:dyDescent="0.25">
      <c r="A436">
        <v>435</v>
      </c>
      <c r="B436" s="1">
        <v>45280</v>
      </c>
      <c r="C436" t="s">
        <v>463</v>
      </c>
      <c r="D436" t="s">
        <v>16</v>
      </c>
      <c r="E436">
        <v>30</v>
      </c>
      <c r="F436" t="s">
        <v>13</v>
      </c>
      <c r="G436">
        <v>3</v>
      </c>
      <c r="H436">
        <v>300</v>
      </c>
      <c r="I436">
        <v>900</v>
      </c>
      <c r="J436" t="str">
        <f t="shared" si="6"/>
        <v>26-35</v>
      </c>
      <c r="M436" s="6" t="s">
        <v>632</v>
      </c>
      <c r="N436">
        <v>200</v>
      </c>
      <c r="V436" s="6">
        <v>419</v>
      </c>
      <c r="W436">
        <v>90</v>
      </c>
      <c r="Y436" s="6">
        <v>434</v>
      </c>
      <c r="Z436">
        <v>50</v>
      </c>
      <c r="AB436" s="6">
        <v>420</v>
      </c>
      <c r="AC436">
        <v>4</v>
      </c>
    </row>
    <row r="437" spans="1:29" x14ac:dyDescent="0.25">
      <c r="A437">
        <v>436</v>
      </c>
      <c r="B437" s="1">
        <v>45003</v>
      </c>
      <c r="C437" t="s">
        <v>464</v>
      </c>
      <c r="D437" t="s">
        <v>16</v>
      </c>
      <c r="E437">
        <v>57</v>
      </c>
      <c r="F437" t="s">
        <v>17</v>
      </c>
      <c r="G437">
        <v>4</v>
      </c>
      <c r="H437">
        <v>30</v>
      </c>
      <c r="I437">
        <v>120</v>
      </c>
      <c r="J437" t="str">
        <f t="shared" si="6"/>
        <v>46-60</v>
      </c>
      <c r="M437" s="6" t="s">
        <v>236</v>
      </c>
      <c r="N437">
        <v>200</v>
      </c>
      <c r="V437" s="6">
        <v>420</v>
      </c>
      <c r="W437">
        <v>2000</v>
      </c>
      <c r="Y437" s="6">
        <v>435</v>
      </c>
      <c r="Z437">
        <v>900</v>
      </c>
      <c r="AB437" s="6">
        <v>421</v>
      </c>
      <c r="AC437">
        <v>3</v>
      </c>
    </row>
    <row r="438" spans="1:29" x14ac:dyDescent="0.25">
      <c r="A438">
        <v>437</v>
      </c>
      <c r="B438" s="1">
        <v>45206</v>
      </c>
      <c r="C438" t="s">
        <v>465</v>
      </c>
      <c r="D438" t="s">
        <v>16</v>
      </c>
      <c r="E438">
        <v>35</v>
      </c>
      <c r="F438" t="s">
        <v>20</v>
      </c>
      <c r="G438">
        <v>4</v>
      </c>
      <c r="H438">
        <v>300</v>
      </c>
      <c r="I438">
        <v>1200</v>
      </c>
      <c r="J438" t="str">
        <f t="shared" si="6"/>
        <v>26-35</v>
      </c>
      <c r="M438" s="6" t="s">
        <v>214</v>
      </c>
      <c r="N438">
        <v>200</v>
      </c>
      <c r="V438" s="6">
        <v>421</v>
      </c>
      <c r="W438">
        <v>1500</v>
      </c>
      <c r="Y438" s="6">
        <v>436</v>
      </c>
      <c r="Z438">
        <v>120</v>
      </c>
      <c r="AB438" s="6">
        <v>422</v>
      </c>
      <c r="AC438">
        <v>3</v>
      </c>
    </row>
    <row r="439" spans="1:29" x14ac:dyDescent="0.25">
      <c r="A439">
        <v>438</v>
      </c>
      <c r="B439" s="1">
        <v>44945</v>
      </c>
      <c r="C439" t="s">
        <v>466</v>
      </c>
      <c r="D439" t="s">
        <v>16</v>
      </c>
      <c r="E439">
        <v>42</v>
      </c>
      <c r="F439" t="s">
        <v>17</v>
      </c>
      <c r="G439">
        <v>1</v>
      </c>
      <c r="H439">
        <v>30</v>
      </c>
      <c r="I439">
        <v>30</v>
      </c>
      <c r="J439" t="str">
        <f t="shared" si="6"/>
        <v>36-45</v>
      </c>
      <c r="M439" s="6" t="s">
        <v>103</v>
      </c>
      <c r="N439">
        <v>200</v>
      </c>
      <c r="V439" s="6">
        <v>422</v>
      </c>
      <c r="W439">
        <v>90</v>
      </c>
      <c r="Y439" s="6">
        <v>437</v>
      </c>
      <c r="Z439">
        <v>1200</v>
      </c>
      <c r="AB439" s="6">
        <v>423</v>
      </c>
      <c r="AC439">
        <v>1</v>
      </c>
    </row>
    <row r="440" spans="1:29" x14ac:dyDescent="0.25">
      <c r="A440">
        <v>439</v>
      </c>
      <c r="B440" s="1">
        <v>45116</v>
      </c>
      <c r="C440" t="s">
        <v>467</v>
      </c>
      <c r="D440" t="s">
        <v>12</v>
      </c>
      <c r="E440">
        <v>50</v>
      </c>
      <c r="F440" t="s">
        <v>17</v>
      </c>
      <c r="G440">
        <v>3</v>
      </c>
      <c r="H440">
        <v>25</v>
      </c>
      <c r="I440">
        <v>75</v>
      </c>
      <c r="J440" t="str">
        <f t="shared" si="6"/>
        <v>46-60</v>
      </c>
      <c r="M440" s="6" t="s">
        <v>287</v>
      </c>
      <c r="N440">
        <v>200</v>
      </c>
      <c r="V440" s="6">
        <v>423</v>
      </c>
      <c r="W440">
        <v>25</v>
      </c>
      <c r="Y440" s="6">
        <v>438</v>
      </c>
      <c r="Z440">
        <v>30</v>
      </c>
      <c r="AB440" s="6">
        <v>424</v>
      </c>
      <c r="AC440">
        <v>4</v>
      </c>
    </row>
    <row r="441" spans="1:29" x14ac:dyDescent="0.25">
      <c r="A441">
        <v>440</v>
      </c>
      <c r="B441" s="1">
        <v>45225</v>
      </c>
      <c r="C441" t="s">
        <v>468</v>
      </c>
      <c r="D441" t="s">
        <v>12</v>
      </c>
      <c r="E441">
        <v>64</v>
      </c>
      <c r="F441" t="s">
        <v>17</v>
      </c>
      <c r="G441">
        <v>2</v>
      </c>
      <c r="H441">
        <v>300</v>
      </c>
      <c r="I441">
        <v>600</v>
      </c>
      <c r="J441" t="b">
        <f t="shared" si="6"/>
        <v>0</v>
      </c>
      <c r="M441" s="6" t="s">
        <v>89</v>
      </c>
      <c r="N441">
        <v>200</v>
      </c>
      <c r="V441" s="6">
        <v>424</v>
      </c>
      <c r="W441">
        <v>1200</v>
      </c>
      <c r="Y441" s="6">
        <v>439</v>
      </c>
      <c r="Z441">
        <v>75</v>
      </c>
      <c r="AB441" s="6">
        <v>425</v>
      </c>
      <c r="AC441">
        <v>4</v>
      </c>
    </row>
    <row r="442" spans="1:29" x14ac:dyDescent="0.25">
      <c r="A442">
        <v>441</v>
      </c>
      <c r="B442" s="1">
        <v>45209</v>
      </c>
      <c r="C442" t="s">
        <v>469</v>
      </c>
      <c r="D442" t="s">
        <v>12</v>
      </c>
      <c r="E442">
        <v>57</v>
      </c>
      <c r="F442" t="s">
        <v>13</v>
      </c>
      <c r="G442">
        <v>4</v>
      </c>
      <c r="H442">
        <v>300</v>
      </c>
      <c r="I442">
        <v>1200</v>
      </c>
      <c r="J442" t="str">
        <f t="shared" si="6"/>
        <v>46-60</v>
      </c>
      <c r="M442" s="6" t="s">
        <v>160</v>
      </c>
      <c r="N442">
        <v>200</v>
      </c>
      <c r="V442" s="6">
        <v>425</v>
      </c>
      <c r="W442">
        <v>120</v>
      </c>
      <c r="Y442" s="6">
        <v>440</v>
      </c>
      <c r="Z442">
        <v>600</v>
      </c>
      <c r="AB442" s="6">
        <v>426</v>
      </c>
      <c r="AC442">
        <v>3</v>
      </c>
    </row>
    <row r="443" spans="1:29" x14ac:dyDescent="0.25">
      <c r="A443">
        <v>442</v>
      </c>
      <c r="B443" s="1">
        <v>45002</v>
      </c>
      <c r="C443" t="s">
        <v>470</v>
      </c>
      <c r="D443" t="s">
        <v>16</v>
      </c>
      <c r="E443">
        <v>60</v>
      </c>
      <c r="F443" t="s">
        <v>17</v>
      </c>
      <c r="G443">
        <v>4</v>
      </c>
      <c r="H443">
        <v>25</v>
      </c>
      <c r="I443">
        <v>100</v>
      </c>
      <c r="J443" t="str">
        <f t="shared" si="6"/>
        <v>46-60</v>
      </c>
      <c r="M443" s="6" t="s">
        <v>237</v>
      </c>
      <c r="N443">
        <v>200</v>
      </c>
      <c r="V443" s="6">
        <v>426</v>
      </c>
      <c r="W443">
        <v>150</v>
      </c>
      <c r="Y443" s="6">
        <v>441</v>
      </c>
      <c r="Z443">
        <v>1200</v>
      </c>
      <c r="AB443" s="6">
        <v>427</v>
      </c>
      <c r="AC443">
        <v>1</v>
      </c>
    </row>
    <row r="444" spans="1:29" x14ac:dyDescent="0.25">
      <c r="A444">
        <v>443</v>
      </c>
      <c r="B444" s="1">
        <v>45147</v>
      </c>
      <c r="C444" t="s">
        <v>471</v>
      </c>
      <c r="D444" t="s">
        <v>12</v>
      </c>
      <c r="E444">
        <v>29</v>
      </c>
      <c r="F444" t="s">
        <v>17</v>
      </c>
      <c r="G444">
        <v>2</v>
      </c>
      <c r="H444">
        <v>300</v>
      </c>
      <c r="I444">
        <v>600</v>
      </c>
      <c r="J444" t="str">
        <f t="shared" si="6"/>
        <v>26-35</v>
      </c>
      <c r="M444" s="6" t="s">
        <v>222</v>
      </c>
      <c r="N444">
        <v>200</v>
      </c>
      <c r="V444" s="6">
        <v>427</v>
      </c>
      <c r="W444">
        <v>25</v>
      </c>
      <c r="Y444" s="6">
        <v>442</v>
      </c>
      <c r="Z444">
        <v>100</v>
      </c>
      <c r="AB444" s="6">
        <v>428</v>
      </c>
      <c r="AC444">
        <v>4</v>
      </c>
    </row>
    <row r="445" spans="1:29" x14ac:dyDescent="0.25">
      <c r="A445">
        <v>444</v>
      </c>
      <c r="B445" s="1">
        <v>44992</v>
      </c>
      <c r="C445" t="s">
        <v>472</v>
      </c>
      <c r="D445" t="s">
        <v>16</v>
      </c>
      <c r="E445">
        <v>61</v>
      </c>
      <c r="F445" t="s">
        <v>17</v>
      </c>
      <c r="G445">
        <v>3</v>
      </c>
      <c r="H445">
        <v>30</v>
      </c>
      <c r="I445">
        <v>90</v>
      </c>
      <c r="J445" t="b">
        <f t="shared" si="6"/>
        <v>0</v>
      </c>
      <c r="M445" s="6" t="s">
        <v>212</v>
      </c>
      <c r="N445">
        <v>200</v>
      </c>
      <c r="V445" s="6">
        <v>428</v>
      </c>
      <c r="W445">
        <v>200</v>
      </c>
      <c r="Y445" s="6">
        <v>443</v>
      </c>
      <c r="Z445">
        <v>600</v>
      </c>
      <c r="AB445" s="6">
        <v>429</v>
      </c>
      <c r="AC445">
        <v>2</v>
      </c>
    </row>
    <row r="446" spans="1:29" x14ac:dyDescent="0.25">
      <c r="A446">
        <v>445</v>
      </c>
      <c r="B446" s="1">
        <v>44948</v>
      </c>
      <c r="C446" t="s">
        <v>473</v>
      </c>
      <c r="D446" t="s">
        <v>16</v>
      </c>
      <c r="E446">
        <v>53</v>
      </c>
      <c r="F446" t="s">
        <v>20</v>
      </c>
      <c r="G446">
        <v>1</v>
      </c>
      <c r="H446">
        <v>300</v>
      </c>
      <c r="I446">
        <v>300</v>
      </c>
      <c r="J446" t="str">
        <f t="shared" si="6"/>
        <v>46-60</v>
      </c>
      <c r="M446" s="6" t="s">
        <v>245</v>
      </c>
      <c r="N446">
        <v>200</v>
      </c>
      <c r="V446" s="6">
        <v>429</v>
      </c>
      <c r="W446">
        <v>50</v>
      </c>
      <c r="Y446" s="6">
        <v>444</v>
      </c>
      <c r="Z446">
        <v>90</v>
      </c>
      <c r="AB446" s="6">
        <v>430</v>
      </c>
      <c r="AC446">
        <v>3</v>
      </c>
    </row>
    <row r="447" spans="1:29" x14ac:dyDescent="0.25">
      <c r="A447">
        <v>446</v>
      </c>
      <c r="B447" s="1">
        <v>45084</v>
      </c>
      <c r="C447" t="s">
        <v>474</v>
      </c>
      <c r="D447" t="s">
        <v>12</v>
      </c>
      <c r="E447">
        <v>21</v>
      </c>
      <c r="F447" t="s">
        <v>20</v>
      </c>
      <c r="G447">
        <v>1</v>
      </c>
      <c r="H447">
        <v>50</v>
      </c>
      <c r="I447">
        <v>50</v>
      </c>
      <c r="J447" t="str">
        <f t="shared" si="6"/>
        <v>18-25</v>
      </c>
      <c r="M447" s="6" t="s">
        <v>110</v>
      </c>
      <c r="N447">
        <v>200</v>
      </c>
      <c r="V447" s="6">
        <v>430</v>
      </c>
      <c r="W447">
        <v>900</v>
      </c>
      <c r="Y447" s="6">
        <v>445</v>
      </c>
      <c r="Z447">
        <v>300</v>
      </c>
      <c r="AB447" s="6">
        <v>431</v>
      </c>
      <c r="AC447">
        <v>4</v>
      </c>
    </row>
    <row r="448" spans="1:29" x14ac:dyDescent="0.25">
      <c r="A448">
        <v>447</v>
      </c>
      <c r="B448" s="1">
        <v>45113</v>
      </c>
      <c r="C448" t="s">
        <v>475</v>
      </c>
      <c r="D448" t="s">
        <v>12</v>
      </c>
      <c r="E448">
        <v>22</v>
      </c>
      <c r="F448" t="s">
        <v>13</v>
      </c>
      <c r="G448">
        <v>4</v>
      </c>
      <c r="H448">
        <v>500</v>
      </c>
      <c r="I448">
        <v>2000</v>
      </c>
      <c r="J448" t="str">
        <f t="shared" si="6"/>
        <v>18-25</v>
      </c>
      <c r="M448" s="6" t="s">
        <v>149</v>
      </c>
      <c r="N448">
        <v>200</v>
      </c>
      <c r="V448" s="6">
        <v>431</v>
      </c>
      <c r="W448">
        <v>1200</v>
      </c>
      <c r="Y448" s="6">
        <v>446</v>
      </c>
      <c r="Z448">
        <v>50</v>
      </c>
      <c r="AB448" s="6">
        <v>432</v>
      </c>
      <c r="AC448">
        <v>2</v>
      </c>
    </row>
    <row r="449" spans="1:29" x14ac:dyDescent="0.25">
      <c r="A449">
        <v>448</v>
      </c>
      <c r="B449" s="1">
        <v>44947</v>
      </c>
      <c r="C449" t="s">
        <v>476</v>
      </c>
      <c r="D449" t="s">
        <v>16</v>
      </c>
      <c r="E449">
        <v>54</v>
      </c>
      <c r="F449" t="s">
        <v>13</v>
      </c>
      <c r="G449">
        <v>2</v>
      </c>
      <c r="H449">
        <v>30</v>
      </c>
      <c r="I449">
        <v>60</v>
      </c>
      <c r="J449" t="str">
        <f t="shared" si="6"/>
        <v>46-60</v>
      </c>
      <c r="M449" s="6" t="s">
        <v>66</v>
      </c>
      <c r="N449">
        <v>200</v>
      </c>
      <c r="V449" s="6">
        <v>432</v>
      </c>
      <c r="W449">
        <v>1000</v>
      </c>
      <c r="Y449" s="6">
        <v>447</v>
      </c>
      <c r="Z449">
        <v>2000</v>
      </c>
      <c r="AB449" s="6">
        <v>433</v>
      </c>
      <c r="AC449">
        <v>4</v>
      </c>
    </row>
    <row r="450" spans="1:29" x14ac:dyDescent="0.25">
      <c r="A450">
        <v>449</v>
      </c>
      <c r="B450" s="1">
        <v>45110</v>
      </c>
      <c r="C450" t="s">
        <v>477</v>
      </c>
      <c r="D450" t="s">
        <v>12</v>
      </c>
      <c r="E450">
        <v>25</v>
      </c>
      <c r="F450" t="s">
        <v>20</v>
      </c>
      <c r="G450">
        <v>4</v>
      </c>
      <c r="H450">
        <v>50</v>
      </c>
      <c r="I450">
        <v>200</v>
      </c>
      <c r="J450" t="str">
        <f t="shared" si="6"/>
        <v>18-25</v>
      </c>
      <c r="M450" s="6" t="s">
        <v>166</v>
      </c>
      <c r="N450">
        <v>200</v>
      </c>
      <c r="V450" s="6">
        <v>433</v>
      </c>
      <c r="W450">
        <v>200</v>
      </c>
      <c r="Y450" s="6">
        <v>448</v>
      </c>
      <c r="Z450">
        <v>60</v>
      </c>
      <c r="AB450" s="6">
        <v>434</v>
      </c>
      <c r="AC450">
        <v>2</v>
      </c>
    </row>
    <row r="451" spans="1:29" x14ac:dyDescent="0.25">
      <c r="A451">
        <v>450</v>
      </c>
      <c r="B451" s="1">
        <v>45034</v>
      </c>
      <c r="C451" t="s">
        <v>478</v>
      </c>
      <c r="D451" t="s">
        <v>16</v>
      </c>
      <c r="E451">
        <v>59</v>
      </c>
      <c r="F451" t="s">
        <v>13</v>
      </c>
      <c r="G451">
        <v>2</v>
      </c>
      <c r="H451">
        <v>25</v>
      </c>
      <c r="I451">
        <v>50</v>
      </c>
      <c r="J451" t="str">
        <f t="shared" ref="J451:J514" si="7">IF(AND(E451&gt;=18,E451&lt;=25),"18-25",IF(AND(E451&gt;=26,E451&lt;=35),"26-35",IF(AND(E451&gt;=36,E451&lt;=45),"36-45",IF(AND(E451&gt;=46,E451&lt;=60),"46-60"))))</f>
        <v>46-60</v>
      </c>
      <c r="M451" s="6" t="s">
        <v>328</v>
      </c>
      <c r="N451">
        <v>200</v>
      </c>
      <c r="V451" s="6">
        <v>434</v>
      </c>
      <c r="W451">
        <v>50</v>
      </c>
      <c r="Y451" s="6">
        <v>449</v>
      </c>
      <c r="Z451">
        <v>200</v>
      </c>
      <c r="AB451" s="6">
        <v>435</v>
      </c>
      <c r="AC451">
        <v>3</v>
      </c>
    </row>
    <row r="452" spans="1:29" x14ac:dyDescent="0.25">
      <c r="A452">
        <v>451</v>
      </c>
      <c r="B452" s="1">
        <v>45276</v>
      </c>
      <c r="C452" t="s">
        <v>479</v>
      </c>
      <c r="D452" t="s">
        <v>16</v>
      </c>
      <c r="E452">
        <v>45</v>
      </c>
      <c r="F452" t="s">
        <v>20</v>
      </c>
      <c r="G452">
        <v>1</v>
      </c>
      <c r="H452">
        <v>30</v>
      </c>
      <c r="I452">
        <v>30</v>
      </c>
      <c r="J452" t="str">
        <f t="shared" si="7"/>
        <v>36-45</v>
      </c>
      <c r="M452" s="6" t="s">
        <v>279</v>
      </c>
      <c r="N452">
        <v>200</v>
      </c>
      <c r="V452" s="6">
        <v>435</v>
      </c>
      <c r="W452">
        <v>900</v>
      </c>
      <c r="Y452" s="6">
        <v>450</v>
      </c>
      <c r="Z452">
        <v>50</v>
      </c>
      <c r="AB452" s="6">
        <v>436</v>
      </c>
      <c r="AC452">
        <v>4</v>
      </c>
    </row>
    <row r="453" spans="1:29" x14ac:dyDescent="0.25">
      <c r="A453">
        <v>452</v>
      </c>
      <c r="B453" s="1">
        <v>45054</v>
      </c>
      <c r="C453" t="s">
        <v>480</v>
      </c>
      <c r="D453" t="s">
        <v>16</v>
      </c>
      <c r="E453">
        <v>48</v>
      </c>
      <c r="F453" t="s">
        <v>17</v>
      </c>
      <c r="G453">
        <v>3</v>
      </c>
      <c r="H453">
        <v>500</v>
      </c>
      <c r="I453">
        <v>1500</v>
      </c>
      <c r="J453" t="str">
        <f t="shared" si="7"/>
        <v>46-60</v>
      </c>
      <c r="M453" s="6" t="s">
        <v>238</v>
      </c>
      <c r="N453">
        <v>200</v>
      </c>
      <c r="V453" s="6">
        <v>436</v>
      </c>
      <c r="W453">
        <v>120</v>
      </c>
      <c r="Y453" s="6">
        <v>451</v>
      </c>
      <c r="Z453">
        <v>30</v>
      </c>
      <c r="AB453" s="6">
        <v>437</v>
      </c>
      <c r="AC453">
        <v>4</v>
      </c>
    </row>
    <row r="454" spans="1:29" x14ac:dyDescent="0.25">
      <c r="A454">
        <v>453</v>
      </c>
      <c r="B454" s="1">
        <v>45268</v>
      </c>
      <c r="C454" t="s">
        <v>481</v>
      </c>
      <c r="D454" t="s">
        <v>16</v>
      </c>
      <c r="E454">
        <v>26</v>
      </c>
      <c r="F454" t="s">
        <v>17</v>
      </c>
      <c r="G454">
        <v>2</v>
      </c>
      <c r="H454">
        <v>500</v>
      </c>
      <c r="I454">
        <v>1000</v>
      </c>
      <c r="J454" t="str">
        <f t="shared" si="7"/>
        <v>26-35</v>
      </c>
      <c r="M454" s="6" t="s">
        <v>310</v>
      </c>
      <c r="N454">
        <v>200</v>
      </c>
      <c r="V454" s="6">
        <v>437</v>
      </c>
      <c r="W454">
        <v>1200</v>
      </c>
      <c r="Y454" s="6">
        <v>452</v>
      </c>
      <c r="Z454">
        <v>1500</v>
      </c>
      <c r="AB454" s="6">
        <v>438</v>
      </c>
      <c r="AC454">
        <v>1</v>
      </c>
    </row>
    <row r="455" spans="1:29" x14ac:dyDescent="0.25">
      <c r="A455">
        <v>454</v>
      </c>
      <c r="B455" s="1">
        <v>44979</v>
      </c>
      <c r="C455" t="s">
        <v>482</v>
      </c>
      <c r="D455" t="s">
        <v>16</v>
      </c>
      <c r="E455">
        <v>46</v>
      </c>
      <c r="F455" t="s">
        <v>13</v>
      </c>
      <c r="G455">
        <v>1</v>
      </c>
      <c r="H455">
        <v>25</v>
      </c>
      <c r="I455">
        <v>25</v>
      </c>
      <c r="J455" t="str">
        <f t="shared" si="7"/>
        <v>46-60</v>
      </c>
      <c r="M455" s="6" t="s">
        <v>187</v>
      </c>
      <c r="N455">
        <v>200</v>
      </c>
      <c r="V455" s="6">
        <v>438</v>
      </c>
      <c r="W455">
        <v>30</v>
      </c>
      <c r="Y455" s="6">
        <v>453</v>
      </c>
      <c r="Z455">
        <v>1000</v>
      </c>
      <c r="AB455" s="6">
        <v>439</v>
      </c>
      <c r="AC455">
        <v>3</v>
      </c>
    </row>
    <row r="456" spans="1:29" x14ac:dyDescent="0.25">
      <c r="A456">
        <v>455</v>
      </c>
      <c r="B456" s="1">
        <v>45108</v>
      </c>
      <c r="C456" t="s">
        <v>483</v>
      </c>
      <c r="D456" t="s">
        <v>12</v>
      </c>
      <c r="E456">
        <v>31</v>
      </c>
      <c r="F456" t="s">
        <v>20</v>
      </c>
      <c r="G456">
        <v>4</v>
      </c>
      <c r="H456">
        <v>25</v>
      </c>
      <c r="I456">
        <v>100</v>
      </c>
      <c r="J456" t="str">
        <f t="shared" si="7"/>
        <v>26-35</v>
      </c>
      <c r="M456" s="6" t="s">
        <v>225</v>
      </c>
      <c r="N456">
        <v>200</v>
      </c>
      <c r="V456" s="6">
        <v>439</v>
      </c>
      <c r="W456">
        <v>75</v>
      </c>
      <c r="Y456" s="6">
        <v>454</v>
      </c>
      <c r="Z456">
        <v>25</v>
      </c>
      <c r="AB456" s="6">
        <v>440</v>
      </c>
      <c r="AC456">
        <v>2</v>
      </c>
    </row>
    <row r="457" spans="1:29" x14ac:dyDescent="0.25">
      <c r="A457">
        <v>456</v>
      </c>
      <c r="B457" s="1">
        <v>45213</v>
      </c>
      <c r="C457" t="s">
        <v>484</v>
      </c>
      <c r="D457" t="s">
        <v>12</v>
      </c>
      <c r="E457">
        <v>57</v>
      </c>
      <c r="F457" t="s">
        <v>20</v>
      </c>
      <c r="G457">
        <v>2</v>
      </c>
      <c r="H457">
        <v>30</v>
      </c>
      <c r="I457">
        <v>60</v>
      </c>
      <c r="J457" t="str">
        <f t="shared" si="7"/>
        <v>46-60</v>
      </c>
      <c r="M457" s="6" t="s">
        <v>358</v>
      </c>
      <c r="N457">
        <v>200</v>
      </c>
      <c r="V457" s="6">
        <v>440</v>
      </c>
      <c r="W457">
        <v>600</v>
      </c>
      <c r="Y457" s="6">
        <v>455</v>
      </c>
      <c r="Z457">
        <v>100</v>
      </c>
      <c r="AB457" s="6">
        <v>441</v>
      </c>
      <c r="AC457">
        <v>4</v>
      </c>
    </row>
    <row r="458" spans="1:29" x14ac:dyDescent="0.25">
      <c r="A458">
        <v>457</v>
      </c>
      <c r="B458" s="1">
        <v>45135</v>
      </c>
      <c r="C458" t="s">
        <v>485</v>
      </c>
      <c r="D458" t="s">
        <v>16</v>
      </c>
      <c r="E458">
        <v>58</v>
      </c>
      <c r="F458" t="s">
        <v>13</v>
      </c>
      <c r="G458">
        <v>3</v>
      </c>
      <c r="H458">
        <v>300</v>
      </c>
      <c r="I458">
        <v>900</v>
      </c>
      <c r="J458" t="str">
        <f t="shared" si="7"/>
        <v>46-60</v>
      </c>
      <c r="M458" s="6" t="s">
        <v>312</v>
      </c>
      <c r="N458">
        <v>200</v>
      </c>
      <c r="V458" s="6">
        <v>441</v>
      </c>
      <c r="W458">
        <v>1200</v>
      </c>
      <c r="Y458" s="6">
        <v>456</v>
      </c>
      <c r="Z458">
        <v>60</v>
      </c>
      <c r="AB458" s="6">
        <v>442</v>
      </c>
      <c r="AC458">
        <v>4</v>
      </c>
    </row>
    <row r="459" spans="1:29" x14ac:dyDescent="0.25">
      <c r="A459">
        <v>458</v>
      </c>
      <c r="B459" s="1">
        <v>45244</v>
      </c>
      <c r="C459" t="s">
        <v>486</v>
      </c>
      <c r="D459" t="s">
        <v>16</v>
      </c>
      <c r="E459">
        <v>39</v>
      </c>
      <c r="F459" t="s">
        <v>20</v>
      </c>
      <c r="G459">
        <v>4</v>
      </c>
      <c r="H459">
        <v>25</v>
      </c>
      <c r="I459">
        <v>100</v>
      </c>
      <c r="J459" t="str">
        <f t="shared" si="7"/>
        <v>36-45</v>
      </c>
      <c r="M459" s="6" t="s">
        <v>174</v>
      </c>
      <c r="N459">
        <v>200</v>
      </c>
      <c r="V459" s="6">
        <v>442</v>
      </c>
      <c r="W459">
        <v>100</v>
      </c>
      <c r="Y459" s="6">
        <v>457</v>
      </c>
      <c r="Z459">
        <v>900</v>
      </c>
      <c r="AB459" s="6">
        <v>443</v>
      </c>
      <c r="AC459">
        <v>2</v>
      </c>
    </row>
    <row r="460" spans="1:29" x14ac:dyDescent="0.25">
      <c r="A460">
        <v>459</v>
      </c>
      <c r="B460" s="1">
        <v>45006</v>
      </c>
      <c r="C460" t="s">
        <v>487</v>
      </c>
      <c r="D460" t="s">
        <v>12</v>
      </c>
      <c r="E460">
        <v>28</v>
      </c>
      <c r="F460" t="s">
        <v>17</v>
      </c>
      <c r="G460">
        <v>4</v>
      </c>
      <c r="H460">
        <v>300</v>
      </c>
      <c r="I460">
        <v>1200</v>
      </c>
      <c r="J460" t="str">
        <f t="shared" si="7"/>
        <v>26-35</v>
      </c>
      <c r="M460" s="6" t="s">
        <v>33</v>
      </c>
      <c r="N460">
        <v>200</v>
      </c>
      <c r="V460" s="6">
        <v>443</v>
      </c>
      <c r="W460">
        <v>600</v>
      </c>
      <c r="Y460" s="6">
        <v>458</v>
      </c>
      <c r="Z460">
        <v>100</v>
      </c>
      <c r="AB460" s="6">
        <v>444</v>
      </c>
      <c r="AC460">
        <v>3</v>
      </c>
    </row>
    <row r="461" spans="1:29" x14ac:dyDescent="0.25">
      <c r="A461">
        <v>460</v>
      </c>
      <c r="B461" s="1">
        <v>45048</v>
      </c>
      <c r="C461" t="s">
        <v>488</v>
      </c>
      <c r="D461" t="s">
        <v>12</v>
      </c>
      <c r="E461">
        <v>40</v>
      </c>
      <c r="F461" t="s">
        <v>13</v>
      </c>
      <c r="G461">
        <v>1</v>
      </c>
      <c r="H461">
        <v>50</v>
      </c>
      <c r="I461">
        <v>50</v>
      </c>
      <c r="J461" t="str">
        <f t="shared" si="7"/>
        <v>36-45</v>
      </c>
      <c r="M461" s="6" t="s">
        <v>1006</v>
      </c>
      <c r="N461">
        <v>150</v>
      </c>
      <c r="V461" s="6">
        <v>444</v>
      </c>
      <c r="W461">
        <v>90</v>
      </c>
      <c r="Y461" s="6">
        <v>459</v>
      </c>
      <c r="Z461">
        <v>1200</v>
      </c>
      <c r="AB461" s="6">
        <v>445</v>
      </c>
      <c r="AC461">
        <v>1</v>
      </c>
    </row>
    <row r="462" spans="1:29" x14ac:dyDescent="0.25">
      <c r="A462">
        <v>461</v>
      </c>
      <c r="B462" s="1">
        <v>45010</v>
      </c>
      <c r="C462" t="s">
        <v>489</v>
      </c>
      <c r="D462" t="s">
        <v>16</v>
      </c>
      <c r="E462">
        <v>18</v>
      </c>
      <c r="F462" t="s">
        <v>13</v>
      </c>
      <c r="G462">
        <v>2</v>
      </c>
      <c r="H462">
        <v>500</v>
      </c>
      <c r="I462">
        <v>1000</v>
      </c>
      <c r="J462" t="str">
        <f t="shared" si="7"/>
        <v>18-25</v>
      </c>
      <c r="M462" s="6" t="s">
        <v>805</v>
      </c>
      <c r="N462">
        <v>150</v>
      </c>
      <c r="V462" s="6">
        <v>445</v>
      </c>
      <c r="W462">
        <v>300</v>
      </c>
      <c r="Y462" s="6">
        <v>460</v>
      </c>
      <c r="Z462">
        <v>50</v>
      </c>
      <c r="AB462" s="6">
        <v>446</v>
      </c>
      <c r="AC462">
        <v>1</v>
      </c>
    </row>
    <row r="463" spans="1:29" x14ac:dyDescent="0.25">
      <c r="A463">
        <v>462</v>
      </c>
      <c r="B463" s="1">
        <v>45017</v>
      </c>
      <c r="C463" t="s">
        <v>490</v>
      </c>
      <c r="D463" t="s">
        <v>12</v>
      </c>
      <c r="E463">
        <v>63</v>
      </c>
      <c r="F463" t="s">
        <v>20</v>
      </c>
      <c r="G463">
        <v>4</v>
      </c>
      <c r="H463">
        <v>300</v>
      </c>
      <c r="I463">
        <v>1200</v>
      </c>
      <c r="J463" t="b">
        <f t="shared" si="7"/>
        <v>0</v>
      </c>
      <c r="M463" s="6" t="s">
        <v>938</v>
      </c>
      <c r="N463">
        <v>150</v>
      </c>
      <c r="V463" s="6">
        <v>446</v>
      </c>
      <c r="W463">
        <v>50</v>
      </c>
      <c r="Y463" s="6">
        <v>461</v>
      </c>
      <c r="Z463">
        <v>1000</v>
      </c>
      <c r="AB463" s="6">
        <v>447</v>
      </c>
      <c r="AC463">
        <v>4</v>
      </c>
    </row>
    <row r="464" spans="1:29" x14ac:dyDescent="0.25">
      <c r="A464">
        <v>463</v>
      </c>
      <c r="B464" s="1">
        <v>45138</v>
      </c>
      <c r="C464" t="s">
        <v>491</v>
      </c>
      <c r="D464" t="s">
        <v>16</v>
      </c>
      <c r="E464">
        <v>54</v>
      </c>
      <c r="F464" t="s">
        <v>13</v>
      </c>
      <c r="G464">
        <v>3</v>
      </c>
      <c r="H464">
        <v>500</v>
      </c>
      <c r="I464">
        <v>1500</v>
      </c>
      <c r="J464" t="str">
        <f t="shared" si="7"/>
        <v>46-60</v>
      </c>
      <c r="M464" s="6" t="s">
        <v>841</v>
      </c>
      <c r="N464">
        <v>150</v>
      </c>
      <c r="V464" s="6">
        <v>447</v>
      </c>
      <c r="W464">
        <v>2000</v>
      </c>
      <c r="Y464" s="6">
        <v>462</v>
      </c>
      <c r="Z464">
        <v>1200</v>
      </c>
      <c r="AB464" s="6">
        <v>448</v>
      </c>
      <c r="AC464">
        <v>2</v>
      </c>
    </row>
    <row r="465" spans="1:29" x14ac:dyDescent="0.25">
      <c r="A465">
        <v>464</v>
      </c>
      <c r="B465" s="1">
        <v>44939</v>
      </c>
      <c r="C465" t="s">
        <v>492</v>
      </c>
      <c r="D465" t="s">
        <v>12</v>
      </c>
      <c r="E465">
        <v>38</v>
      </c>
      <c r="F465" t="s">
        <v>20</v>
      </c>
      <c r="G465">
        <v>2</v>
      </c>
      <c r="H465">
        <v>300</v>
      </c>
      <c r="I465">
        <v>600</v>
      </c>
      <c r="J465" t="str">
        <f t="shared" si="7"/>
        <v>36-45</v>
      </c>
      <c r="M465" s="6" t="s">
        <v>752</v>
      </c>
      <c r="N465">
        <v>150</v>
      </c>
      <c r="V465" s="6">
        <v>448</v>
      </c>
      <c r="W465">
        <v>60</v>
      </c>
      <c r="Y465" s="6">
        <v>463</v>
      </c>
      <c r="Z465">
        <v>1500</v>
      </c>
      <c r="AB465" s="6">
        <v>449</v>
      </c>
      <c r="AC465">
        <v>4</v>
      </c>
    </row>
    <row r="466" spans="1:29" x14ac:dyDescent="0.25">
      <c r="A466">
        <v>465</v>
      </c>
      <c r="B466" s="1">
        <v>45018</v>
      </c>
      <c r="C466" t="s">
        <v>493</v>
      </c>
      <c r="D466" t="s">
        <v>16</v>
      </c>
      <c r="E466">
        <v>43</v>
      </c>
      <c r="F466" t="s">
        <v>20</v>
      </c>
      <c r="G466">
        <v>3</v>
      </c>
      <c r="H466">
        <v>50</v>
      </c>
      <c r="I466">
        <v>150</v>
      </c>
      <c r="J466" t="str">
        <f t="shared" si="7"/>
        <v>36-45</v>
      </c>
      <c r="M466" s="6" t="s">
        <v>850</v>
      </c>
      <c r="N466">
        <v>150</v>
      </c>
      <c r="V466" s="6">
        <v>449</v>
      </c>
      <c r="W466">
        <v>200</v>
      </c>
      <c r="Y466" s="6">
        <v>464</v>
      </c>
      <c r="Z466">
        <v>600</v>
      </c>
      <c r="AB466" s="6">
        <v>450</v>
      </c>
      <c r="AC466">
        <v>2</v>
      </c>
    </row>
    <row r="467" spans="1:29" x14ac:dyDescent="0.25">
      <c r="A467">
        <v>466</v>
      </c>
      <c r="B467" s="1">
        <v>45097</v>
      </c>
      <c r="C467" t="s">
        <v>494</v>
      </c>
      <c r="D467" t="s">
        <v>12</v>
      </c>
      <c r="E467">
        <v>63</v>
      </c>
      <c r="F467" t="s">
        <v>20</v>
      </c>
      <c r="G467">
        <v>4</v>
      </c>
      <c r="H467">
        <v>25</v>
      </c>
      <c r="I467">
        <v>100</v>
      </c>
      <c r="J467" t="b">
        <f t="shared" si="7"/>
        <v>0</v>
      </c>
      <c r="M467" s="6" t="s">
        <v>723</v>
      </c>
      <c r="N467">
        <v>150</v>
      </c>
      <c r="V467" s="6">
        <v>450</v>
      </c>
      <c r="W467">
        <v>50</v>
      </c>
      <c r="Y467" s="6">
        <v>465</v>
      </c>
      <c r="Z467">
        <v>150</v>
      </c>
      <c r="AB467" s="6">
        <v>451</v>
      </c>
      <c r="AC467">
        <v>1</v>
      </c>
    </row>
    <row r="468" spans="1:29" x14ac:dyDescent="0.25">
      <c r="A468">
        <v>467</v>
      </c>
      <c r="B468" s="1">
        <v>45137</v>
      </c>
      <c r="C468" t="s">
        <v>495</v>
      </c>
      <c r="D468" t="s">
        <v>16</v>
      </c>
      <c r="E468">
        <v>53</v>
      </c>
      <c r="F468" t="s">
        <v>20</v>
      </c>
      <c r="G468">
        <v>3</v>
      </c>
      <c r="H468">
        <v>50</v>
      </c>
      <c r="I468">
        <v>150</v>
      </c>
      <c r="J468" t="str">
        <f t="shared" si="7"/>
        <v>46-60</v>
      </c>
      <c r="M468" s="6" t="s">
        <v>858</v>
      </c>
      <c r="N468">
        <v>150</v>
      </c>
      <c r="V468" s="6">
        <v>451</v>
      </c>
      <c r="W468">
        <v>30</v>
      </c>
      <c r="Y468" s="6">
        <v>466</v>
      </c>
      <c r="Z468">
        <v>100</v>
      </c>
      <c r="AB468" s="6">
        <v>452</v>
      </c>
      <c r="AC468">
        <v>3</v>
      </c>
    </row>
    <row r="469" spans="1:29" x14ac:dyDescent="0.25">
      <c r="A469">
        <v>468</v>
      </c>
      <c r="B469" s="1">
        <v>45269</v>
      </c>
      <c r="C469" t="s">
        <v>496</v>
      </c>
      <c r="D469" t="s">
        <v>12</v>
      </c>
      <c r="E469">
        <v>40</v>
      </c>
      <c r="F469" t="s">
        <v>20</v>
      </c>
      <c r="G469">
        <v>1</v>
      </c>
      <c r="H469">
        <v>25</v>
      </c>
      <c r="I469">
        <v>25</v>
      </c>
      <c r="J469" t="str">
        <f t="shared" si="7"/>
        <v>36-45</v>
      </c>
      <c r="M469" s="6" t="s">
        <v>940</v>
      </c>
      <c r="N469">
        <v>150</v>
      </c>
      <c r="V469" s="6">
        <v>452</v>
      </c>
      <c r="W469">
        <v>1500</v>
      </c>
      <c r="Y469" s="6">
        <v>467</v>
      </c>
      <c r="Z469">
        <v>150</v>
      </c>
      <c r="AB469" s="6">
        <v>453</v>
      </c>
      <c r="AC469">
        <v>2</v>
      </c>
    </row>
    <row r="470" spans="1:29" x14ac:dyDescent="0.25">
      <c r="A470">
        <v>469</v>
      </c>
      <c r="B470" s="1">
        <v>45054</v>
      </c>
      <c r="C470" t="s">
        <v>497</v>
      </c>
      <c r="D470" t="s">
        <v>12</v>
      </c>
      <c r="E470">
        <v>18</v>
      </c>
      <c r="F470" t="s">
        <v>13</v>
      </c>
      <c r="G470">
        <v>3</v>
      </c>
      <c r="H470">
        <v>25</v>
      </c>
      <c r="I470">
        <v>75</v>
      </c>
      <c r="J470" t="str">
        <f t="shared" si="7"/>
        <v>18-25</v>
      </c>
      <c r="M470" s="6" t="s">
        <v>696</v>
      </c>
      <c r="N470">
        <v>150</v>
      </c>
      <c r="V470" s="6">
        <v>453</v>
      </c>
      <c r="W470">
        <v>1000</v>
      </c>
      <c r="Y470" s="6">
        <v>468</v>
      </c>
      <c r="Z470">
        <v>25</v>
      </c>
      <c r="AB470" s="6">
        <v>454</v>
      </c>
      <c r="AC470">
        <v>1</v>
      </c>
    </row>
    <row r="471" spans="1:29" x14ac:dyDescent="0.25">
      <c r="A471">
        <v>470</v>
      </c>
      <c r="B471" s="1">
        <v>45063</v>
      </c>
      <c r="C471" t="s">
        <v>498</v>
      </c>
      <c r="D471" t="s">
        <v>16</v>
      </c>
      <c r="E471">
        <v>57</v>
      </c>
      <c r="F471" t="s">
        <v>17</v>
      </c>
      <c r="G471">
        <v>2</v>
      </c>
      <c r="H471">
        <v>500</v>
      </c>
      <c r="I471">
        <v>1000</v>
      </c>
      <c r="J471" t="str">
        <f t="shared" si="7"/>
        <v>46-60</v>
      </c>
      <c r="M471" s="6" t="s">
        <v>699</v>
      </c>
      <c r="N471">
        <v>150</v>
      </c>
      <c r="V471" s="6">
        <v>454</v>
      </c>
      <c r="W471">
        <v>25</v>
      </c>
      <c r="Y471" s="6">
        <v>469</v>
      </c>
      <c r="Z471">
        <v>75</v>
      </c>
      <c r="AB471" s="6">
        <v>455</v>
      </c>
      <c r="AC471">
        <v>4</v>
      </c>
    </row>
    <row r="472" spans="1:29" x14ac:dyDescent="0.25">
      <c r="A472">
        <v>471</v>
      </c>
      <c r="B472" s="1">
        <v>45008</v>
      </c>
      <c r="C472" t="s">
        <v>499</v>
      </c>
      <c r="D472" t="s">
        <v>12</v>
      </c>
      <c r="E472">
        <v>32</v>
      </c>
      <c r="F472" t="s">
        <v>17</v>
      </c>
      <c r="G472">
        <v>3</v>
      </c>
      <c r="H472">
        <v>50</v>
      </c>
      <c r="I472">
        <v>150</v>
      </c>
      <c r="J472" t="str">
        <f t="shared" si="7"/>
        <v>26-35</v>
      </c>
      <c r="M472" s="6" t="s">
        <v>776</v>
      </c>
      <c r="N472">
        <v>150</v>
      </c>
      <c r="V472" s="6">
        <v>455</v>
      </c>
      <c r="W472">
        <v>100</v>
      </c>
      <c r="Y472" s="6">
        <v>470</v>
      </c>
      <c r="Z472">
        <v>1000</v>
      </c>
      <c r="AB472" s="6">
        <v>456</v>
      </c>
      <c r="AC472">
        <v>2</v>
      </c>
    </row>
    <row r="473" spans="1:29" x14ac:dyDescent="0.25">
      <c r="A473">
        <v>472</v>
      </c>
      <c r="B473" s="1">
        <v>45286</v>
      </c>
      <c r="C473" t="s">
        <v>500</v>
      </c>
      <c r="D473" t="s">
        <v>16</v>
      </c>
      <c r="E473">
        <v>38</v>
      </c>
      <c r="F473" t="s">
        <v>13</v>
      </c>
      <c r="G473">
        <v>3</v>
      </c>
      <c r="H473">
        <v>300</v>
      </c>
      <c r="I473">
        <v>900</v>
      </c>
      <c r="J473" t="str">
        <f t="shared" si="7"/>
        <v>36-45</v>
      </c>
      <c r="M473" s="6" t="s">
        <v>756</v>
      </c>
      <c r="N473">
        <v>150</v>
      </c>
      <c r="V473" s="6">
        <v>456</v>
      </c>
      <c r="W473">
        <v>60</v>
      </c>
      <c r="Y473" s="6">
        <v>471</v>
      </c>
      <c r="Z473">
        <v>150</v>
      </c>
      <c r="AB473" s="6">
        <v>457</v>
      </c>
      <c r="AC473">
        <v>3</v>
      </c>
    </row>
    <row r="474" spans="1:29" x14ac:dyDescent="0.25">
      <c r="A474">
        <v>473</v>
      </c>
      <c r="B474" s="1">
        <v>44982</v>
      </c>
      <c r="C474" t="s">
        <v>501</v>
      </c>
      <c r="D474" t="s">
        <v>12</v>
      </c>
      <c r="E474">
        <v>64</v>
      </c>
      <c r="F474" t="s">
        <v>13</v>
      </c>
      <c r="G474">
        <v>1</v>
      </c>
      <c r="H474">
        <v>50</v>
      </c>
      <c r="I474">
        <v>50</v>
      </c>
      <c r="J474" t="b">
        <f t="shared" si="7"/>
        <v>0</v>
      </c>
      <c r="M474" s="6" t="s">
        <v>872</v>
      </c>
      <c r="N474">
        <v>150</v>
      </c>
      <c r="V474" s="6">
        <v>457</v>
      </c>
      <c r="W474">
        <v>900</v>
      </c>
      <c r="Y474" s="6">
        <v>472</v>
      </c>
      <c r="Z474">
        <v>900</v>
      </c>
      <c r="AB474" s="6">
        <v>458</v>
      </c>
      <c r="AC474">
        <v>4</v>
      </c>
    </row>
    <row r="475" spans="1:29" x14ac:dyDescent="0.25">
      <c r="A475">
        <v>474</v>
      </c>
      <c r="B475" s="1">
        <v>45122</v>
      </c>
      <c r="C475" t="s">
        <v>502</v>
      </c>
      <c r="D475" t="s">
        <v>16</v>
      </c>
      <c r="E475">
        <v>26</v>
      </c>
      <c r="F475" t="s">
        <v>17</v>
      </c>
      <c r="G475">
        <v>3</v>
      </c>
      <c r="H475">
        <v>500</v>
      </c>
      <c r="I475">
        <v>1500</v>
      </c>
      <c r="J475" t="str">
        <f t="shared" si="7"/>
        <v>26-35</v>
      </c>
      <c r="M475" s="6" t="s">
        <v>1021</v>
      </c>
      <c r="N475">
        <v>150</v>
      </c>
      <c r="V475" s="6">
        <v>458</v>
      </c>
      <c r="W475">
        <v>100</v>
      </c>
      <c r="Y475" s="6">
        <v>473</v>
      </c>
      <c r="Z475">
        <v>50</v>
      </c>
      <c r="AB475" s="6">
        <v>459</v>
      </c>
      <c r="AC475">
        <v>4</v>
      </c>
    </row>
    <row r="476" spans="1:29" x14ac:dyDescent="0.25">
      <c r="A476">
        <v>475</v>
      </c>
      <c r="B476" s="1">
        <v>44946</v>
      </c>
      <c r="C476" t="s">
        <v>503</v>
      </c>
      <c r="D476" t="s">
        <v>12</v>
      </c>
      <c r="E476">
        <v>26</v>
      </c>
      <c r="F476" t="s">
        <v>17</v>
      </c>
      <c r="G476">
        <v>3</v>
      </c>
      <c r="H476">
        <v>25</v>
      </c>
      <c r="I476">
        <v>75</v>
      </c>
      <c r="J476" t="str">
        <f t="shared" si="7"/>
        <v>26-35</v>
      </c>
      <c r="M476" s="6" t="s">
        <v>1027</v>
      </c>
      <c r="N476">
        <v>150</v>
      </c>
      <c r="V476" s="6">
        <v>459</v>
      </c>
      <c r="W476">
        <v>1200</v>
      </c>
      <c r="Y476" s="6">
        <v>474</v>
      </c>
      <c r="Z476">
        <v>1500</v>
      </c>
      <c r="AB476" s="6">
        <v>460</v>
      </c>
      <c r="AC476">
        <v>1</v>
      </c>
    </row>
    <row r="477" spans="1:29" x14ac:dyDescent="0.25">
      <c r="A477">
        <v>476</v>
      </c>
      <c r="B477" s="1">
        <v>45167</v>
      </c>
      <c r="C477" t="s">
        <v>504</v>
      </c>
      <c r="D477" t="s">
        <v>16</v>
      </c>
      <c r="E477">
        <v>27</v>
      </c>
      <c r="F477" t="s">
        <v>17</v>
      </c>
      <c r="G477">
        <v>4</v>
      </c>
      <c r="H477">
        <v>500</v>
      </c>
      <c r="I477">
        <v>2000</v>
      </c>
      <c r="J477" t="str">
        <f t="shared" si="7"/>
        <v>26-35</v>
      </c>
      <c r="M477" s="6" t="s">
        <v>518</v>
      </c>
      <c r="N477">
        <v>150</v>
      </c>
      <c r="V477" s="6">
        <v>460</v>
      </c>
      <c r="W477">
        <v>50</v>
      </c>
      <c r="Y477" s="6">
        <v>475</v>
      </c>
      <c r="Z477">
        <v>75</v>
      </c>
      <c r="AB477" s="6">
        <v>461</v>
      </c>
      <c r="AC477">
        <v>2</v>
      </c>
    </row>
    <row r="478" spans="1:29" x14ac:dyDescent="0.25">
      <c r="A478">
        <v>477</v>
      </c>
      <c r="B478" s="1">
        <v>45040</v>
      </c>
      <c r="C478" t="s">
        <v>505</v>
      </c>
      <c r="D478" t="s">
        <v>12</v>
      </c>
      <c r="E478">
        <v>43</v>
      </c>
      <c r="F478" t="s">
        <v>17</v>
      </c>
      <c r="G478">
        <v>4</v>
      </c>
      <c r="H478">
        <v>30</v>
      </c>
      <c r="I478">
        <v>120</v>
      </c>
      <c r="J478" t="str">
        <f t="shared" si="7"/>
        <v>36-45</v>
      </c>
      <c r="M478" s="6" t="s">
        <v>495</v>
      </c>
      <c r="N478">
        <v>150</v>
      </c>
      <c r="V478" s="6">
        <v>461</v>
      </c>
      <c r="W478">
        <v>1000</v>
      </c>
      <c r="Y478" s="6">
        <v>476</v>
      </c>
      <c r="Z478">
        <v>2000</v>
      </c>
      <c r="AB478" s="6">
        <v>462</v>
      </c>
      <c r="AC478">
        <v>4</v>
      </c>
    </row>
    <row r="479" spans="1:29" x14ac:dyDescent="0.25">
      <c r="A479">
        <v>478</v>
      </c>
      <c r="B479" s="1">
        <v>45029</v>
      </c>
      <c r="C479" t="s">
        <v>506</v>
      </c>
      <c r="D479" t="s">
        <v>16</v>
      </c>
      <c r="E479">
        <v>58</v>
      </c>
      <c r="F479" t="s">
        <v>17</v>
      </c>
      <c r="G479">
        <v>2</v>
      </c>
      <c r="H479">
        <v>30</v>
      </c>
      <c r="I479">
        <v>60</v>
      </c>
      <c r="J479" t="str">
        <f t="shared" si="7"/>
        <v>46-60</v>
      </c>
      <c r="M479" s="6" t="s">
        <v>493</v>
      </c>
      <c r="N479">
        <v>150</v>
      </c>
      <c r="V479" s="6">
        <v>462</v>
      </c>
      <c r="W479">
        <v>1200</v>
      </c>
      <c r="Y479" s="6">
        <v>477</v>
      </c>
      <c r="Z479">
        <v>120</v>
      </c>
      <c r="AB479" s="6">
        <v>463</v>
      </c>
      <c r="AC479">
        <v>3</v>
      </c>
    </row>
    <row r="480" spans="1:29" x14ac:dyDescent="0.25">
      <c r="A480">
        <v>479</v>
      </c>
      <c r="B480" s="1">
        <v>45162</v>
      </c>
      <c r="C480" t="s">
        <v>507</v>
      </c>
      <c r="D480" t="s">
        <v>12</v>
      </c>
      <c r="E480">
        <v>52</v>
      </c>
      <c r="F480" t="s">
        <v>20</v>
      </c>
      <c r="G480">
        <v>4</v>
      </c>
      <c r="H480">
        <v>300</v>
      </c>
      <c r="I480">
        <v>1200</v>
      </c>
      <c r="J480" t="str">
        <f t="shared" si="7"/>
        <v>46-60</v>
      </c>
      <c r="M480" s="6" t="s">
        <v>604</v>
      </c>
      <c r="N480">
        <v>150</v>
      </c>
      <c r="V480" s="6">
        <v>463</v>
      </c>
      <c r="W480">
        <v>1500</v>
      </c>
      <c r="Y480" s="6">
        <v>478</v>
      </c>
      <c r="Z480">
        <v>60</v>
      </c>
      <c r="AB480" s="6">
        <v>464</v>
      </c>
      <c r="AC480">
        <v>2</v>
      </c>
    </row>
    <row r="481" spans="1:29" x14ac:dyDescent="0.25">
      <c r="A481">
        <v>480</v>
      </c>
      <c r="B481" s="1">
        <v>45106</v>
      </c>
      <c r="C481" t="s">
        <v>508</v>
      </c>
      <c r="D481" t="s">
        <v>16</v>
      </c>
      <c r="E481">
        <v>42</v>
      </c>
      <c r="F481" t="s">
        <v>13</v>
      </c>
      <c r="G481">
        <v>4</v>
      </c>
      <c r="H481">
        <v>500</v>
      </c>
      <c r="I481">
        <v>2000</v>
      </c>
      <c r="J481" t="str">
        <f t="shared" si="7"/>
        <v>36-45</v>
      </c>
      <c r="M481" s="6" t="s">
        <v>499</v>
      </c>
      <c r="N481">
        <v>150</v>
      </c>
      <c r="V481" s="6">
        <v>464</v>
      </c>
      <c r="W481">
        <v>600</v>
      </c>
      <c r="Y481" s="6">
        <v>479</v>
      </c>
      <c r="Z481">
        <v>1200</v>
      </c>
      <c r="AB481" s="6">
        <v>465</v>
      </c>
      <c r="AC481">
        <v>3</v>
      </c>
    </row>
    <row r="482" spans="1:29" x14ac:dyDescent="0.25">
      <c r="A482">
        <v>481</v>
      </c>
      <c r="B482" s="1">
        <v>45083</v>
      </c>
      <c r="C482" t="s">
        <v>509</v>
      </c>
      <c r="D482" t="s">
        <v>16</v>
      </c>
      <c r="E482">
        <v>43</v>
      </c>
      <c r="F482" t="s">
        <v>20</v>
      </c>
      <c r="G482">
        <v>4</v>
      </c>
      <c r="H482">
        <v>300</v>
      </c>
      <c r="I482">
        <v>1200</v>
      </c>
      <c r="J482" t="str">
        <f t="shared" si="7"/>
        <v>36-45</v>
      </c>
      <c r="M482" s="6" t="s">
        <v>582</v>
      </c>
      <c r="N482">
        <v>150</v>
      </c>
      <c r="V482" s="6">
        <v>465</v>
      </c>
      <c r="W482">
        <v>150</v>
      </c>
      <c r="Y482" s="6">
        <v>480</v>
      </c>
      <c r="Z482">
        <v>2000</v>
      </c>
      <c r="AB482" s="6">
        <v>466</v>
      </c>
      <c r="AC482">
        <v>4</v>
      </c>
    </row>
    <row r="483" spans="1:29" x14ac:dyDescent="0.25">
      <c r="A483">
        <v>482</v>
      </c>
      <c r="B483" s="1">
        <v>45043</v>
      </c>
      <c r="C483" t="s">
        <v>510</v>
      </c>
      <c r="D483" t="s">
        <v>16</v>
      </c>
      <c r="E483">
        <v>28</v>
      </c>
      <c r="F483" t="s">
        <v>17</v>
      </c>
      <c r="G483">
        <v>4</v>
      </c>
      <c r="H483">
        <v>300</v>
      </c>
      <c r="I483">
        <v>1200</v>
      </c>
      <c r="J483" t="str">
        <f t="shared" si="7"/>
        <v>26-35</v>
      </c>
      <c r="M483" s="6" t="s">
        <v>566</v>
      </c>
      <c r="N483">
        <v>150</v>
      </c>
      <c r="V483" s="6">
        <v>466</v>
      </c>
      <c r="W483">
        <v>100</v>
      </c>
      <c r="Y483" s="6">
        <v>481</v>
      </c>
      <c r="Z483">
        <v>1200</v>
      </c>
      <c r="AB483" s="6">
        <v>467</v>
      </c>
      <c r="AC483">
        <v>3</v>
      </c>
    </row>
    <row r="484" spans="1:29" x14ac:dyDescent="0.25">
      <c r="A484">
        <v>483</v>
      </c>
      <c r="B484" s="1">
        <v>45041</v>
      </c>
      <c r="C484" t="s">
        <v>511</v>
      </c>
      <c r="D484" t="s">
        <v>12</v>
      </c>
      <c r="E484">
        <v>55</v>
      </c>
      <c r="F484" t="s">
        <v>17</v>
      </c>
      <c r="G484">
        <v>1</v>
      </c>
      <c r="H484">
        <v>30</v>
      </c>
      <c r="I484">
        <v>30</v>
      </c>
      <c r="J484" t="str">
        <f t="shared" si="7"/>
        <v>46-60</v>
      </c>
      <c r="M484" s="6" t="s">
        <v>530</v>
      </c>
      <c r="N484">
        <v>150</v>
      </c>
      <c r="V484" s="6">
        <v>467</v>
      </c>
      <c r="W484">
        <v>150</v>
      </c>
      <c r="Y484" s="6">
        <v>482</v>
      </c>
      <c r="Z484">
        <v>1200</v>
      </c>
      <c r="AB484" s="6">
        <v>468</v>
      </c>
      <c r="AC484">
        <v>1</v>
      </c>
    </row>
    <row r="485" spans="1:29" x14ac:dyDescent="0.25">
      <c r="A485">
        <v>484</v>
      </c>
      <c r="B485" s="1">
        <v>44939</v>
      </c>
      <c r="C485" t="s">
        <v>512</v>
      </c>
      <c r="D485" t="s">
        <v>16</v>
      </c>
      <c r="E485">
        <v>19</v>
      </c>
      <c r="F485" t="s">
        <v>17</v>
      </c>
      <c r="G485">
        <v>4</v>
      </c>
      <c r="H485">
        <v>300</v>
      </c>
      <c r="I485">
        <v>1200</v>
      </c>
      <c r="J485" t="str">
        <f t="shared" si="7"/>
        <v>18-25</v>
      </c>
      <c r="M485" s="6" t="s">
        <v>557</v>
      </c>
      <c r="N485">
        <v>150</v>
      </c>
      <c r="V485" s="6">
        <v>468</v>
      </c>
      <c r="W485">
        <v>25</v>
      </c>
      <c r="Y485" s="6">
        <v>483</v>
      </c>
      <c r="Z485">
        <v>30</v>
      </c>
      <c r="AB485" s="6">
        <v>469</v>
      </c>
      <c r="AC485">
        <v>3</v>
      </c>
    </row>
    <row r="486" spans="1:29" x14ac:dyDescent="0.25">
      <c r="A486">
        <v>485</v>
      </c>
      <c r="B486" s="1">
        <v>45264</v>
      </c>
      <c r="C486" t="s">
        <v>513</v>
      </c>
      <c r="D486" t="s">
        <v>12</v>
      </c>
      <c r="E486">
        <v>24</v>
      </c>
      <c r="F486" t="s">
        <v>20</v>
      </c>
      <c r="G486">
        <v>1</v>
      </c>
      <c r="H486">
        <v>30</v>
      </c>
      <c r="I486">
        <v>30</v>
      </c>
      <c r="J486" t="str">
        <f t="shared" si="7"/>
        <v>18-25</v>
      </c>
      <c r="M486" s="6" t="s">
        <v>532</v>
      </c>
      <c r="N486">
        <v>150</v>
      </c>
      <c r="V486" s="6">
        <v>469</v>
      </c>
      <c r="W486">
        <v>75</v>
      </c>
      <c r="Y486" s="6">
        <v>484</v>
      </c>
      <c r="Z486">
        <v>1200</v>
      </c>
      <c r="AB486" s="6">
        <v>470</v>
      </c>
      <c r="AC486">
        <v>2</v>
      </c>
    </row>
    <row r="487" spans="1:29" x14ac:dyDescent="0.25">
      <c r="A487">
        <v>486</v>
      </c>
      <c r="B487" s="1">
        <v>45025</v>
      </c>
      <c r="C487" t="s">
        <v>514</v>
      </c>
      <c r="D487" t="s">
        <v>16</v>
      </c>
      <c r="E487">
        <v>35</v>
      </c>
      <c r="F487" t="s">
        <v>20</v>
      </c>
      <c r="G487">
        <v>1</v>
      </c>
      <c r="H487">
        <v>25</v>
      </c>
      <c r="I487">
        <v>25</v>
      </c>
      <c r="J487" t="str">
        <f t="shared" si="7"/>
        <v>26-35</v>
      </c>
      <c r="M487" s="6" t="s">
        <v>364</v>
      </c>
      <c r="N487">
        <v>150</v>
      </c>
      <c r="V487" s="6">
        <v>470</v>
      </c>
      <c r="W487">
        <v>1000</v>
      </c>
      <c r="Y487" s="6">
        <v>485</v>
      </c>
      <c r="Z487">
        <v>30</v>
      </c>
      <c r="AB487" s="6">
        <v>471</v>
      </c>
      <c r="AC487">
        <v>3</v>
      </c>
    </row>
    <row r="488" spans="1:29" x14ac:dyDescent="0.25">
      <c r="A488">
        <v>487</v>
      </c>
      <c r="B488" s="1">
        <v>45131</v>
      </c>
      <c r="C488" t="s">
        <v>515</v>
      </c>
      <c r="D488" t="s">
        <v>12</v>
      </c>
      <c r="E488">
        <v>44</v>
      </c>
      <c r="F488" t="s">
        <v>17</v>
      </c>
      <c r="G488">
        <v>4</v>
      </c>
      <c r="H488">
        <v>500</v>
      </c>
      <c r="I488">
        <v>2000</v>
      </c>
      <c r="J488" t="str">
        <f t="shared" si="7"/>
        <v>36-45</v>
      </c>
      <c r="M488" s="6" t="s">
        <v>454</v>
      </c>
      <c r="N488">
        <v>150</v>
      </c>
      <c r="V488" s="6">
        <v>471</v>
      </c>
      <c r="W488">
        <v>150</v>
      </c>
      <c r="Y488" s="6">
        <v>486</v>
      </c>
      <c r="Z488">
        <v>25</v>
      </c>
      <c r="AB488" s="6">
        <v>472</v>
      </c>
      <c r="AC488">
        <v>3</v>
      </c>
    </row>
    <row r="489" spans="1:29" x14ac:dyDescent="0.25">
      <c r="A489">
        <v>488</v>
      </c>
      <c r="B489" s="1">
        <v>45095</v>
      </c>
      <c r="C489" t="s">
        <v>516</v>
      </c>
      <c r="D489" t="s">
        <v>16</v>
      </c>
      <c r="E489">
        <v>51</v>
      </c>
      <c r="F489" t="s">
        <v>20</v>
      </c>
      <c r="G489">
        <v>3</v>
      </c>
      <c r="H489">
        <v>300</v>
      </c>
      <c r="I489">
        <v>900</v>
      </c>
      <c r="J489" t="str">
        <f t="shared" si="7"/>
        <v>46-60</v>
      </c>
      <c r="M489" s="6" t="s">
        <v>679</v>
      </c>
      <c r="N489">
        <v>150</v>
      </c>
      <c r="V489" s="6">
        <v>472</v>
      </c>
      <c r="W489">
        <v>900</v>
      </c>
      <c r="Y489" s="6">
        <v>487</v>
      </c>
      <c r="Z489">
        <v>2000</v>
      </c>
      <c r="AB489" s="6">
        <v>473</v>
      </c>
      <c r="AC489">
        <v>1</v>
      </c>
    </row>
    <row r="490" spans="1:29" x14ac:dyDescent="0.25">
      <c r="A490">
        <v>489</v>
      </c>
      <c r="B490" s="1">
        <v>45069</v>
      </c>
      <c r="C490" t="s">
        <v>517</v>
      </c>
      <c r="D490" t="s">
        <v>12</v>
      </c>
      <c r="E490">
        <v>44</v>
      </c>
      <c r="F490" t="s">
        <v>20</v>
      </c>
      <c r="G490">
        <v>1</v>
      </c>
      <c r="H490">
        <v>30</v>
      </c>
      <c r="I490">
        <v>30</v>
      </c>
      <c r="J490" t="str">
        <f t="shared" si="7"/>
        <v>36-45</v>
      </c>
      <c r="M490" s="6" t="s">
        <v>694</v>
      </c>
      <c r="N490">
        <v>150</v>
      </c>
      <c r="V490" s="6">
        <v>473</v>
      </c>
      <c r="W490">
        <v>50</v>
      </c>
      <c r="Y490" s="6">
        <v>488</v>
      </c>
      <c r="Z490">
        <v>900</v>
      </c>
      <c r="AB490" s="6">
        <v>474</v>
      </c>
      <c r="AC490">
        <v>3</v>
      </c>
    </row>
    <row r="491" spans="1:29" x14ac:dyDescent="0.25">
      <c r="A491">
        <v>490</v>
      </c>
      <c r="B491" s="1">
        <v>44962</v>
      </c>
      <c r="C491" t="s">
        <v>518</v>
      </c>
      <c r="D491" t="s">
        <v>12</v>
      </c>
      <c r="E491">
        <v>34</v>
      </c>
      <c r="F491" t="s">
        <v>17</v>
      </c>
      <c r="G491">
        <v>3</v>
      </c>
      <c r="H491">
        <v>50</v>
      </c>
      <c r="I491">
        <v>150</v>
      </c>
      <c r="J491" t="str">
        <f t="shared" si="7"/>
        <v>26-35</v>
      </c>
      <c r="M491" s="6" t="s">
        <v>651</v>
      </c>
      <c r="N491">
        <v>150</v>
      </c>
      <c r="V491" s="6">
        <v>474</v>
      </c>
      <c r="W491">
        <v>1500</v>
      </c>
      <c r="Y491" s="6">
        <v>489</v>
      </c>
      <c r="Z491">
        <v>30</v>
      </c>
      <c r="AB491" s="6">
        <v>475</v>
      </c>
      <c r="AC491">
        <v>3</v>
      </c>
    </row>
    <row r="492" spans="1:29" x14ac:dyDescent="0.25">
      <c r="A492">
        <v>491</v>
      </c>
      <c r="B492" s="1">
        <v>45069</v>
      </c>
      <c r="C492" t="s">
        <v>519</v>
      </c>
      <c r="D492" t="s">
        <v>16</v>
      </c>
      <c r="E492">
        <v>60</v>
      </c>
      <c r="F492" t="s">
        <v>20</v>
      </c>
      <c r="G492">
        <v>3</v>
      </c>
      <c r="H492">
        <v>300</v>
      </c>
      <c r="I492">
        <v>900</v>
      </c>
      <c r="J492" t="str">
        <f t="shared" si="7"/>
        <v>46-60</v>
      </c>
      <c r="M492" s="6" t="s">
        <v>352</v>
      </c>
      <c r="N492">
        <v>150</v>
      </c>
      <c r="V492" s="6">
        <v>475</v>
      </c>
      <c r="W492">
        <v>75</v>
      </c>
      <c r="Y492" s="6">
        <v>490</v>
      </c>
      <c r="Z492">
        <v>150</v>
      </c>
      <c r="AB492" s="6">
        <v>476</v>
      </c>
      <c r="AC492">
        <v>4</v>
      </c>
    </row>
    <row r="493" spans="1:29" x14ac:dyDescent="0.25">
      <c r="A493">
        <v>492</v>
      </c>
      <c r="B493" s="1">
        <v>45106</v>
      </c>
      <c r="C493" t="s">
        <v>520</v>
      </c>
      <c r="D493" t="s">
        <v>12</v>
      </c>
      <c r="E493">
        <v>61</v>
      </c>
      <c r="F493" t="s">
        <v>13</v>
      </c>
      <c r="G493">
        <v>4</v>
      </c>
      <c r="H493">
        <v>25</v>
      </c>
      <c r="I493">
        <v>100</v>
      </c>
      <c r="J493" t="b">
        <f t="shared" si="7"/>
        <v>0</v>
      </c>
      <c r="M493" s="6" t="s">
        <v>259</v>
      </c>
      <c r="N493">
        <v>150</v>
      </c>
      <c r="V493" s="6">
        <v>476</v>
      </c>
      <c r="W493">
        <v>2000</v>
      </c>
      <c r="Y493" s="6">
        <v>491</v>
      </c>
      <c r="Z493">
        <v>900</v>
      </c>
      <c r="AB493" s="6">
        <v>477</v>
      </c>
      <c r="AC493">
        <v>4</v>
      </c>
    </row>
    <row r="494" spans="1:29" x14ac:dyDescent="0.25">
      <c r="A494">
        <v>493</v>
      </c>
      <c r="B494" s="1">
        <v>45255</v>
      </c>
      <c r="C494" t="s">
        <v>521</v>
      </c>
      <c r="D494" t="s">
        <v>12</v>
      </c>
      <c r="E494">
        <v>41</v>
      </c>
      <c r="F494" t="s">
        <v>13</v>
      </c>
      <c r="G494">
        <v>2</v>
      </c>
      <c r="H494">
        <v>25</v>
      </c>
      <c r="I494">
        <v>50</v>
      </c>
      <c r="J494" t="str">
        <f t="shared" si="7"/>
        <v>36-45</v>
      </c>
      <c r="M494" s="6" t="s">
        <v>191</v>
      </c>
      <c r="N494">
        <v>150</v>
      </c>
      <c r="V494" s="6">
        <v>477</v>
      </c>
      <c r="W494">
        <v>120</v>
      </c>
      <c r="Y494" s="6">
        <v>492</v>
      </c>
      <c r="Z494">
        <v>100</v>
      </c>
      <c r="AB494" s="6">
        <v>478</v>
      </c>
      <c r="AC494">
        <v>2</v>
      </c>
    </row>
    <row r="495" spans="1:29" x14ac:dyDescent="0.25">
      <c r="A495">
        <v>494</v>
      </c>
      <c r="B495" s="1">
        <v>45187</v>
      </c>
      <c r="C495" t="s">
        <v>522</v>
      </c>
      <c r="D495" t="s">
        <v>16</v>
      </c>
      <c r="E495">
        <v>42</v>
      </c>
      <c r="F495" t="s">
        <v>13</v>
      </c>
      <c r="G495">
        <v>4</v>
      </c>
      <c r="H495">
        <v>50</v>
      </c>
      <c r="I495">
        <v>200</v>
      </c>
      <c r="J495" t="str">
        <f t="shared" si="7"/>
        <v>36-45</v>
      </c>
      <c r="M495" s="6" t="s">
        <v>355</v>
      </c>
      <c r="N495">
        <v>150</v>
      </c>
      <c r="V495" s="6">
        <v>478</v>
      </c>
      <c r="W495">
        <v>60</v>
      </c>
      <c r="Y495" s="6">
        <v>493</v>
      </c>
      <c r="Z495">
        <v>50</v>
      </c>
      <c r="AB495" s="6">
        <v>479</v>
      </c>
      <c r="AC495">
        <v>4</v>
      </c>
    </row>
    <row r="496" spans="1:29" x14ac:dyDescent="0.25">
      <c r="A496">
        <v>495</v>
      </c>
      <c r="B496" s="1">
        <v>45131</v>
      </c>
      <c r="C496" t="s">
        <v>523</v>
      </c>
      <c r="D496" t="s">
        <v>12</v>
      </c>
      <c r="E496">
        <v>24</v>
      </c>
      <c r="F496" t="s">
        <v>13</v>
      </c>
      <c r="G496">
        <v>2</v>
      </c>
      <c r="H496">
        <v>30</v>
      </c>
      <c r="I496">
        <v>60</v>
      </c>
      <c r="J496" t="str">
        <f t="shared" si="7"/>
        <v>18-25</v>
      </c>
      <c r="M496" s="6" t="s">
        <v>88</v>
      </c>
      <c r="N496">
        <v>150</v>
      </c>
      <c r="V496" s="6">
        <v>479</v>
      </c>
      <c r="W496">
        <v>1200</v>
      </c>
      <c r="Y496" s="6">
        <v>494</v>
      </c>
      <c r="Z496">
        <v>200</v>
      </c>
      <c r="AB496" s="6">
        <v>480</v>
      </c>
      <c r="AC496">
        <v>4</v>
      </c>
    </row>
    <row r="497" spans="1:29" x14ac:dyDescent="0.25">
      <c r="A497">
        <v>496</v>
      </c>
      <c r="B497" s="1">
        <v>45274</v>
      </c>
      <c r="C497" t="s">
        <v>524</v>
      </c>
      <c r="D497" t="s">
        <v>12</v>
      </c>
      <c r="E497">
        <v>23</v>
      </c>
      <c r="F497" t="s">
        <v>17</v>
      </c>
      <c r="G497">
        <v>2</v>
      </c>
      <c r="H497">
        <v>300</v>
      </c>
      <c r="I497">
        <v>600</v>
      </c>
      <c r="J497" t="str">
        <f t="shared" si="7"/>
        <v>18-25</v>
      </c>
      <c r="M497" s="6" t="s">
        <v>113</v>
      </c>
      <c r="N497">
        <v>150</v>
      </c>
      <c r="V497" s="6">
        <v>480</v>
      </c>
      <c r="W497">
        <v>2000</v>
      </c>
      <c r="Y497" s="6">
        <v>495</v>
      </c>
      <c r="Z497">
        <v>60</v>
      </c>
      <c r="AB497" s="6">
        <v>481</v>
      </c>
      <c r="AC497">
        <v>4</v>
      </c>
    </row>
    <row r="498" spans="1:29" x14ac:dyDescent="0.25">
      <c r="A498">
        <v>497</v>
      </c>
      <c r="B498" s="1">
        <v>45201</v>
      </c>
      <c r="C498" t="s">
        <v>525</v>
      </c>
      <c r="D498" t="s">
        <v>12</v>
      </c>
      <c r="E498">
        <v>41</v>
      </c>
      <c r="F498" t="s">
        <v>17</v>
      </c>
      <c r="G498">
        <v>4</v>
      </c>
      <c r="H498">
        <v>30</v>
      </c>
      <c r="I498">
        <v>120</v>
      </c>
      <c r="J498" t="str">
        <f t="shared" si="7"/>
        <v>36-45</v>
      </c>
      <c r="M498" s="6" t="s">
        <v>147</v>
      </c>
      <c r="N498">
        <v>150</v>
      </c>
      <c r="V498" s="6">
        <v>481</v>
      </c>
      <c r="W498">
        <v>1200</v>
      </c>
      <c r="Y498" s="6">
        <v>496</v>
      </c>
      <c r="Z498">
        <v>600</v>
      </c>
      <c r="AB498" s="6">
        <v>482</v>
      </c>
      <c r="AC498">
        <v>4</v>
      </c>
    </row>
    <row r="499" spans="1:29" x14ac:dyDescent="0.25">
      <c r="A499">
        <v>498</v>
      </c>
      <c r="B499" s="1">
        <v>45096</v>
      </c>
      <c r="C499" t="s">
        <v>526</v>
      </c>
      <c r="D499" t="s">
        <v>16</v>
      </c>
      <c r="E499">
        <v>50</v>
      </c>
      <c r="F499" t="s">
        <v>17</v>
      </c>
      <c r="G499">
        <v>4</v>
      </c>
      <c r="H499">
        <v>25</v>
      </c>
      <c r="I499">
        <v>100</v>
      </c>
      <c r="J499" t="str">
        <f t="shared" si="7"/>
        <v>46-60</v>
      </c>
      <c r="M499" s="6" t="s">
        <v>62</v>
      </c>
      <c r="N499">
        <v>150</v>
      </c>
      <c r="V499" s="6">
        <v>482</v>
      </c>
      <c r="W499">
        <v>1200</v>
      </c>
      <c r="Y499" s="6">
        <v>497</v>
      </c>
      <c r="Z499">
        <v>120</v>
      </c>
      <c r="AB499" s="6">
        <v>483</v>
      </c>
      <c r="AC499">
        <v>1</v>
      </c>
    </row>
    <row r="500" spans="1:29" x14ac:dyDescent="0.25">
      <c r="A500">
        <v>499</v>
      </c>
      <c r="B500" s="1">
        <v>44941</v>
      </c>
      <c r="C500" t="s">
        <v>527</v>
      </c>
      <c r="D500" t="s">
        <v>12</v>
      </c>
      <c r="E500">
        <v>46</v>
      </c>
      <c r="F500" t="s">
        <v>13</v>
      </c>
      <c r="G500">
        <v>2</v>
      </c>
      <c r="H500">
        <v>30</v>
      </c>
      <c r="I500">
        <v>60</v>
      </c>
      <c r="J500" t="str">
        <f t="shared" si="7"/>
        <v>46-60</v>
      </c>
      <c r="M500" s="6" t="s">
        <v>228</v>
      </c>
      <c r="N500">
        <v>150</v>
      </c>
      <c r="V500" s="6">
        <v>483</v>
      </c>
      <c r="W500">
        <v>30</v>
      </c>
      <c r="Y500" s="6">
        <v>498</v>
      </c>
      <c r="Z500">
        <v>100</v>
      </c>
      <c r="AB500" s="6">
        <v>484</v>
      </c>
      <c r="AC500">
        <v>4</v>
      </c>
    </row>
    <row r="501" spans="1:29" x14ac:dyDescent="0.25">
      <c r="A501">
        <v>500</v>
      </c>
      <c r="B501" s="1">
        <v>44986</v>
      </c>
      <c r="C501" t="s">
        <v>528</v>
      </c>
      <c r="D501" t="s">
        <v>16</v>
      </c>
      <c r="E501">
        <v>60</v>
      </c>
      <c r="F501" t="s">
        <v>13</v>
      </c>
      <c r="G501">
        <v>4</v>
      </c>
      <c r="H501">
        <v>25</v>
      </c>
      <c r="I501">
        <v>100</v>
      </c>
      <c r="J501" t="str">
        <f t="shared" si="7"/>
        <v>46-60</v>
      </c>
      <c r="M501" s="6" t="s">
        <v>11</v>
      </c>
      <c r="N501">
        <v>150</v>
      </c>
      <c r="V501" s="6">
        <v>484</v>
      </c>
      <c r="W501">
        <v>1200</v>
      </c>
      <c r="Y501" s="6">
        <v>499</v>
      </c>
      <c r="Z501">
        <v>60</v>
      </c>
      <c r="AB501" s="6">
        <v>485</v>
      </c>
      <c r="AC501">
        <v>1</v>
      </c>
    </row>
    <row r="502" spans="1:29" x14ac:dyDescent="0.25">
      <c r="A502">
        <v>501</v>
      </c>
      <c r="B502" s="1">
        <v>45060</v>
      </c>
      <c r="C502" t="s">
        <v>529</v>
      </c>
      <c r="D502" t="s">
        <v>12</v>
      </c>
      <c r="E502">
        <v>39</v>
      </c>
      <c r="F502" t="s">
        <v>20</v>
      </c>
      <c r="G502">
        <v>2</v>
      </c>
      <c r="H502">
        <v>30</v>
      </c>
      <c r="I502">
        <v>60</v>
      </c>
      <c r="J502" t="str">
        <f t="shared" si="7"/>
        <v>36-45</v>
      </c>
      <c r="M502" s="6" t="s">
        <v>195</v>
      </c>
      <c r="N502">
        <v>150</v>
      </c>
      <c r="V502" s="6">
        <v>485</v>
      </c>
      <c r="W502">
        <v>30</v>
      </c>
      <c r="Y502" s="6">
        <v>500</v>
      </c>
      <c r="Z502">
        <v>100</v>
      </c>
      <c r="AB502" s="6">
        <v>486</v>
      </c>
      <c r="AC502">
        <v>1</v>
      </c>
    </row>
    <row r="503" spans="1:29" x14ac:dyDescent="0.25">
      <c r="A503">
        <v>502</v>
      </c>
      <c r="B503" s="1">
        <v>45018</v>
      </c>
      <c r="C503" t="s">
        <v>530</v>
      </c>
      <c r="D503" t="s">
        <v>12</v>
      </c>
      <c r="E503">
        <v>43</v>
      </c>
      <c r="F503" t="s">
        <v>20</v>
      </c>
      <c r="G503">
        <v>3</v>
      </c>
      <c r="H503">
        <v>50</v>
      </c>
      <c r="I503">
        <v>150</v>
      </c>
      <c r="J503" t="str">
        <f t="shared" si="7"/>
        <v>36-45</v>
      </c>
      <c r="M503" s="6" t="s">
        <v>824</v>
      </c>
      <c r="N503">
        <v>120</v>
      </c>
      <c r="V503" s="6">
        <v>486</v>
      </c>
      <c r="W503">
        <v>25</v>
      </c>
      <c r="Y503" s="6">
        <v>501</v>
      </c>
      <c r="Z503">
        <v>60</v>
      </c>
      <c r="AB503" s="6">
        <v>487</v>
      </c>
      <c r="AC503">
        <v>4</v>
      </c>
    </row>
    <row r="504" spans="1:29" x14ac:dyDescent="0.25">
      <c r="A504">
        <v>503</v>
      </c>
      <c r="B504" s="1">
        <v>45224</v>
      </c>
      <c r="C504" t="s">
        <v>531</v>
      </c>
      <c r="D504" t="s">
        <v>12</v>
      </c>
      <c r="E504">
        <v>45</v>
      </c>
      <c r="F504" t="s">
        <v>13</v>
      </c>
      <c r="G504">
        <v>4</v>
      </c>
      <c r="H504">
        <v>500</v>
      </c>
      <c r="I504">
        <v>2000</v>
      </c>
      <c r="J504" t="str">
        <f t="shared" si="7"/>
        <v>36-45</v>
      </c>
      <c r="M504" s="6" t="s">
        <v>797</v>
      </c>
      <c r="N504">
        <v>120</v>
      </c>
      <c r="V504" s="6">
        <v>487</v>
      </c>
      <c r="W504">
        <v>2000</v>
      </c>
      <c r="Y504" s="6">
        <v>502</v>
      </c>
      <c r="Z504">
        <v>150</v>
      </c>
      <c r="AB504" s="6">
        <v>488</v>
      </c>
      <c r="AC504">
        <v>3</v>
      </c>
    </row>
    <row r="505" spans="1:29" x14ac:dyDescent="0.25">
      <c r="A505">
        <v>504</v>
      </c>
      <c r="B505" s="1">
        <v>45062</v>
      </c>
      <c r="C505" t="s">
        <v>532</v>
      </c>
      <c r="D505" t="s">
        <v>16</v>
      </c>
      <c r="E505">
        <v>38</v>
      </c>
      <c r="F505" t="s">
        <v>13</v>
      </c>
      <c r="G505">
        <v>3</v>
      </c>
      <c r="H505">
        <v>50</v>
      </c>
      <c r="I505">
        <v>150</v>
      </c>
      <c r="J505" t="str">
        <f t="shared" si="7"/>
        <v>36-45</v>
      </c>
      <c r="M505" s="6" t="s">
        <v>898</v>
      </c>
      <c r="N505">
        <v>120</v>
      </c>
      <c r="V505" s="6">
        <v>488</v>
      </c>
      <c r="W505">
        <v>900</v>
      </c>
      <c r="Y505" s="6">
        <v>503</v>
      </c>
      <c r="Z505">
        <v>2000</v>
      </c>
      <c r="AB505" s="6">
        <v>489</v>
      </c>
      <c r="AC505">
        <v>1</v>
      </c>
    </row>
    <row r="506" spans="1:29" x14ac:dyDescent="0.25">
      <c r="A506">
        <v>505</v>
      </c>
      <c r="B506" s="1">
        <v>44946</v>
      </c>
      <c r="C506" t="s">
        <v>533</v>
      </c>
      <c r="D506" t="s">
        <v>12</v>
      </c>
      <c r="E506">
        <v>24</v>
      </c>
      <c r="F506" t="s">
        <v>13</v>
      </c>
      <c r="G506">
        <v>1</v>
      </c>
      <c r="H506">
        <v>50</v>
      </c>
      <c r="I506">
        <v>50</v>
      </c>
      <c r="J506" t="str">
        <f t="shared" si="7"/>
        <v>18-25</v>
      </c>
      <c r="M506" s="6" t="s">
        <v>923</v>
      </c>
      <c r="N506">
        <v>120</v>
      </c>
      <c r="V506" s="6">
        <v>489</v>
      </c>
      <c r="W506">
        <v>30</v>
      </c>
      <c r="Y506" s="6">
        <v>504</v>
      </c>
      <c r="Z506">
        <v>150</v>
      </c>
      <c r="AB506" s="6">
        <v>490</v>
      </c>
      <c r="AC506">
        <v>3</v>
      </c>
    </row>
    <row r="507" spans="1:29" x14ac:dyDescent="0.25">
      <c r="A507">
        <v>506</v>
      </c>
      <c r="B507" s="1">
        <v>44982</v>
      </c>
      <c r="C507" t="s">
        <v>534</v>
      </c>
      <c r="D507" t="s">
        <v>12</v>
      </c>
      <c r="E507">
        <v>34</v>
      </c>
      <c r="F507" t="s">
        <v>13</v>
      </c>
      <c r="G507">
        <v>3</v>
      </c>
      <c r="H507">
        <v>500</v>
      </c>
      <c r="I507">
        <v>1500</v>
      </c>
      <c r="J507" t="str">
        <f t="shared" si="7"/>
        <v>26-35</v>
      </c>
      <c r="M507" s="6" t="s">
        <v>985</v>
      </c>
      <c r="N507">
        <v>120</v>
      </c>
      <c r="V507" s="6">
        <v>490</v>
      </c>
      <c r="W507">
        <v>150</v>
      </c>
      <c r="Y507" s="6">
        <v>505</v>
      </c>
      <c r="Z507">
        <v>50</v>
      </c>
      <c r="AB507" s="6">
        <v>491</v>
      </c>
      <c r="AC507">
        <v>3</v>
      </c>
    </row>
    <row r="508" spans="1:29" x14ac:dyDescent="0.25">
      <c r="A508">
        <v>507</v>
      </c>
      <c r="B508" s="1">
        <v>45232</v>
      </c>
      <c r="C508" t="s">
        <v>535</v>
      </c>
      <c r="D508" t="s">
        <v>16</v>
      </c>
      <c r="E508">
        <v>37</v>
      </c>
      <c r="F508" t="s">
        <v>20</v>
      </c>
      <c r="G508">
        <v>3</v>
      </c>
      <c r="H508">
        <v>500</v>
      </c>
      <c r="I508">
        <v>1500</v>
      </c>
      <c r="J508" t="str">
        <f t="shared" si="7"/>
        <v>36-45</v>
      </c>
      <c r="M508" s="6" t="s">
        <v>959</v>
      </c>
      <c r="N508">
        <v>120</v>
      </c>
      <c r="V508" s="6">
        <v>491</v>
      </c>
      <c r="W508">
        <v>900</v>
      </c>
      <c r="Y508" s="6">
        <v>506</v>
      </c>
      <c r="Z508">
        <v>1500</v>
      </c>
      <c r="AB508" s="6">
        <v>492</v>
      </c>
      <c r="AC508">
        <v>4</v>
      </c>
    </row>
    <row r="509" spans="1:29" x14ac:dyDescent="0.25">
      <c r="A509">
        <v>508</v>
      </c>
      <c r="B509" s="1">
        <v>45149</v>
      </c>
      <c r="C509" t="s">
        <v>536</v>
      </c>
      <c r="D509" t="s">
        <v>12</v>
      </c>
      <c r="E509">
        <v>58</v>
      </c>
      <c r="F509" t="s">
        <v>13</v>
      </c>
      <c r="G509">
        <v>2</v>
      </c>
      <c r="H509">
        <v>300</v>
      </c>
      <c r="I509">
        <v>600</v>
      </c>
      <c r="J509" t="str">
        <f t="shared" si="7"/>
        <v>46-60</v>
      </c>
      <c r="M509" s="6" t="s">
        <v>884</v>
      </c>
      <c r="N509">
        <v>120</v>
      </c>
      <c r="V509" s="6">
        <v>492</v>
      </c>
      <c r="W509">
        <v>100</v>
      </c>
      <c r="Y509" s="6">
        <v>507</v>
      </c>
      <c r="Z509">
        <v>1500</v>
      </c>
      <c r="AB509" s="6">
        <v>493</v>
      </c>
      <c r="AC509">
        <v>2</v>
      </c>
    </row>
    <row r="510" spans="1:29" x14ac:dyDescent="0.25">
      <c r="A510">
        <v>509</v>
      </c>
      <c r="B510" s="1">
        <v>45103</v>
      </c>
      <c r="C510" t="s">
        <v>537</v>
      </c>
      <c r="D510" t="s">
        <v>16</v>
      </c>
      <c r="E510">
        <v>37</v>
      </c>
      <c r="F510" t="s">
        <v>20</v>
      </c>
      <c r="G510">
        <v>3</v>
      </c>
      <c r="H510">
        <v>300</v>
      </c>
      <c r="I510">
        <v>900</v>
      </c>
      <c r="J510" t="str">
        <f t="shared" si="7"/>
        <v>36-45</v>
      </c>
      <c r="M510" s="6" t="s">
        <v>852</v>
      </c>
      <c r="N510">
        <v>120</v>
      </c>
      <c r="V510" s="6">
        <v>493</v>
      </c>
      <c r="W510">
        <v>50</v>
      </c>
      <c r="Y510" s="6">
        <v>508</v>
      </c>
      <c r="Z510">
        <v>600</v>
      </c>
      <c r="AB510" s="6">
        <v>494</v>
      </c>
      <c r="AC510">
        <v>4</v>
      </c>
    </row>
    <row r="511" spans="1:29" x14ac:dyDescent="0.25">
      <c r="A511">
        <v>510</v>
      </c>
      <c r="B511" s="1">
        <v>45087</v>
      </c>
      <c r="C511" t="s">
        <v>538</v>
      </c>
      <c r="D511" t="s">
        <v>16</v>
      </c>
      <c r="E511">
        <v>39</v>
      </c>
      <c r="F511" t="s">
        <v>13</v>
      </c>
      <c r="G511">
        <v>4</v>
      </c>
      <c r="H511">
        <v>50</v>
      </c>
      <c r="I511">
        <v>200</v>
      </c>
      <c r="J511" t="str">
        <f t="shared" si="7"/>
        <v>36-45</v>
      </c>
      <c r="M511" s="6" t="s">
        <v>904</v>
      </c>
      <c r="N511">
        <v>120</v>
      </c>
      <c r="V511" s="6">
        <v>494</v>
      </c>
      <c r="W511">
        <v>200</v>
      </c>
      <c r="Y511" s="6">
        <v>509</v>
      </c>
      <c r="Z511">
        <v>900</v>
      </c>
      <c r="AB511" s="6">
        <v>495</v>
      </c>
      <c r="AC511">
        <v>2</v>
      </c>
    </row>
    <row r="512" spans="1:29" x14ac:dyDescent="0.25">
      <c r="A512">
        <v>511</v>
      </c>
      <c r="B512" s="1">
        <v>45150</v>
      </c>
      <c r="C512" t="s">
        <v>539</v>
      </c>
      <c r="D512" t="s">
        <v>12</v>
      </c>
      <c r="E512">
        <v>45</v>
      </c>
      <c r="F512" t="s">
        <v>13</v>
      </c>
      <c r="G512">
        <v>2</v>
      </c>
      <c r="H512">
        <v>50</v>
      </c>
      <c r="I512">
        <v>100</v>
      </c>
      <c r="J512" t="str">
        <f t="shared" si="7"/>
        <v>36-45</v>
      </c>
      <c r="M512" s="6" t="s">
        <v>727</v>
      </c>
      <c r="N512">
        <v>120</v>
      </c>
      <c r="V512" s="6">
        <v>495</v>
      </c>
      <c r="W512">
        <v>60</v>
      </c>
      <c r="Y512" s="6">
        <v>510</v>
      </c>
      <c r="Z512">
        <v>200</v>
      </c>
      <c r="AB512" s="6">
        <v>496</v>
      </c>
      <c r="AC512">
        <v>2</v>
      </c>
    </row>
    <row r="513" spans="1:29" x14ac:dyDescent="0.25">
      <c r="A513">
        <v>512</v>
      </c>
      <c r="B513" s="1">
        <v>45237</v>
      </c>
      <c r="C513" t="s">
        <v>540</v>
      </c>
      <c r="D513" t="s">
        <v>16</v>
      </c>
      <c r="E513">
        <v>57</v>
      </c>
      <c r="F513" t="s">
        <v>13</v>
      </c>
      <c r="G513">
        <v>1</v>
      </c>
      <c r="H513">
        <v>25</v>
      </c>
      <c r="I513">
        <v>25</v>
      </c>
      <c r="J513" t="str">
        <f t="shared" si="7"/>
        <v>46-60</v>
      </c>
      <c r="M513" s="6" t="s">
        <v>913</v>
      </c>
      <c r="N513">
        <v>120</v>
      </c>
      <c r="V513" s="6">
        <v>496</v>
      </c>
      <c r="W513">
        <v>600</v>
      </c>
      <c r="Y513" s="6">
        <v>511</v>
      </c>
      <c r="Z513">
        <v>100</v>
      </c>
      <c r="AB513" s="6">
        <v>497</v>
      </c>
      <c r="AC513">
        <v>4</v>
      </c>
    </row>
    <row r="514" spans="1:29" x14ac:dyDescent="0.25">
      <c r="A514">
        <v>513</v>
      </c>
      <c r="B514" s="1">
        <v>45188</v>
      </c>
      <c r="C514" t="s">
        <v>541</v>
      </c>
      <c r="D514" t="s">
        <v>12</v>
      </c>
      <c r="E514">
        <v>24</v>
      </c>
      <c r="F514" t="s">
        <v>20</v>
      </c>
      <c r="G514">
        <v>4</v>
      </c>
      <c r="H514">
        <v>25</v>
      </c>
      <c r="I514">
        <v>100</v>
      </c>
      <c r="J514" t="str">
        <f t="shared" si="7"/>
        <v>18-25</v>
      </c>
      <c r="M514" s="6" t="s">
        <v>673</v>
      </c>
      <c r="N514">
        <v>120</v>
      </c>
      <c r="V514" s="6">
        <v>497</v>
      </c>
      <c r="W514">
        <v>120</v>
      </c>
      <c r="Y514" s="6">
        <v>512</v>
      </c>
      <c r="Z514">
        <v>25</v>
      </c>
      <c r="AB514" s="6">
        <v>498</v>
      </c>
      <c r="AC514">
        <v>4</v>
      </c>
    </row>
    <row r="515" spans="1:29" x14ac:dyDescent="0.25">
      <c r="A515">
        <v>514</v>
      </c>
      <c r="B515" s="1">
        <v>44986</v>
      </c>
      <c r="C515" t="s">
        <v>542</v>
      </c>
      <c r="D515" t="s">
        <v>16</v>
      </c>
      <c r="E515">
        <v>18</v>
      </c>
      <c r="F515" t="s">
        <v>20</v>
      </c>
      <c r="G515">
        <v>1</v>
      </c>
      <c r="H515">
        <v>300</v>
      </c>
      <c r="I515">
        <v>300</v>
      </c>
      <c r="J515" t="str">
        <f t="shared" ref="J515:J578" si="8">IF(AND(E515&gt;=18,E515&lt;=25),"18-25",IF(AND(E515&gt;=26,E515&lt;=35),"26-35",IF(AND(E515&gt;=36,E515&lt;=45),"36-45",IF(AND(E515&gt;=46,E515&lt;=60),"46-60"))))</f>
        <v>18-25</v>
      </c>
      <c r="M515" s="6" t="s">
        <v>453</v>
      </c>
      <c r="N515">
        <v>120</v>
      </c>
      <c r="V515" s="6">
        <v>498</v>
      </c>
      <c r="W515">
        <v>100</v>
      </c>
      <c r="Y515" s="6">
        <v>513</v>
      </c>
      <c r="Z515">
        <v>100</v>
      </c>
      <c r="AB515" s="6">
        <v>499</v>
      </c>
      <c r="AC515">
        <v>2</v>
      </c>
    </row>
    <row r="516" spans="1:29" x14ac:dyDescent="0.25">
      <c r="A516">
        <v>515</v>
      </c>
      <c r="B516" s="1">
        <v>45124</v>
      </c>
      <c r="C516" t="s">
        <v>543</v>
      </c>
      <c r="D516" t="s">
        <v>16</v>
      </c>
      <c r="E516">
        <v>49</v>
      </c>
      <c r="F516" t="s">
        <v>17</v>
      </c>
      <c r="G516">
        <v>3</v>
      </c>
      <c r="H516">
        <v>300</v>
      </c>
      <c r="I516">
        <v>900</v>
      </c>
      <c r="J516" t="str">
        <f t="shared" si="8"/>
        <v>46-60</v>
      </c>
      <c r="M516" s="6" t="s">
        <v>606</v>
      </c>
      <c r="N516">
        <v>120</v>
      </c>
      <c r="V516" s="6">
        <v>499</v>
      </c>
      <c r="W516">
        <v>60</v>
      </c>
      <c r="Y516" s="6">
        <v>514</v>
      </c>
      <c r="Z516">
        <v>300</v>
      </c>
      <c r="AB516" s="6">
        <v>500</v>
      </c>
      <c r="AC516">
        <v>4</v>
      </c>
    </row>
    <row r="517" spans="1:29" x14ac:dyDescent="0.25">
      <c r="A517">
        <v>516</v>
      </c>
      <c r="B517" s="1">
        <v>45222</v>
      </c>
      <c r="C517" t="s">
        <v>544</v>
      </c>
      <c r="D517" t="s">
        <v>12</v>
      </c>
      <c r="E517">
        <v>30</v>
      </c>
      <c r="F517" t="s">
        <v>13</v>
      </c>
      <c r="G517">
        <v>4</v>
      </c>
      <c r="H517">
        <v>25</v>
      </c>
      <c r="I517">
        <v>100</v>
      </c>
      <c r="J517" t="str">
        <f t="shared" si="8"/>
        <v>26-35</v>
      </c>
      <c r="M517" s="6" t="s">
        <v>626</v>
      </c>
      <c r="N517">
        <v>120</v>
      </c>
      <c r="V517" s="6">
        <v>500</v>
      </c>
      <c r="W517">
        <v>100</v>
      </c>
      <c r="Y517" s="6">
        <v>515</v>
      </c>
      <c r="Z517">
        <v>900</v>
      </c>
      <c r="AB517" s="6">
        <v>501</v>
      </c>
      <c r="AC517">
        <v>2</v>
      </c>
    </row>
    <row r="518" spans="1:29" x14ac:dyDescent="0.25">
      <c r="A518">
        <v>517</v>
      </c>
      <c r="B518" s="1">
        <v>45024</v>
      </c>
      <c r="C518" t="s">
        <v>545</v>
      </c>
      <c r="D518" t="s">
        <v>16</v>
      </c>
      <c r="E518">
        <v>47</v>
      </c>
      <c r="F518" t="s">
        <v>17</v>
      </c>
      <c r="G518">
        <v>4</v>
      </c>
      <c r="H518">
        <v>25</v>
      </c>
      <c r="I518">
        <v>100</v>
      </c>
      <c r="J518" t="str">
        <f t="shared" si="8"/>
        <v>46-60</v>
      </c>
      <c r="M518" s="6" t="s">
        <v>464</v>
      </c>
      <c r="N518">
        <v>120</v>
      </c>
      <c r="V518" s="6">
        <v>501</v>
      </c>
      <c r="W518">
        <v>60</v>
      </c>
      <c r="Y518" s="6">
        <v>516</v>
      </c>
      <c r="Z518">
        <v>100</v>
      </c>
      <c r="AB518" s="6">
        <v>502</v>
      </c>
      <c r="AC518">
        <v>3</v>
      </c>
    </row>
    <row r="519" spans="1:29" x14ac:dyDescent="0.25">
      <c r="A519">
        <v>518</v>
      </c>
      <c r="B519" s="1">
        <v>45057</v>
      </c>
      <c r="C519" t="s">
        <v>546</v>
      </c>
      <c r="D519" t="s">
        <v>16</v>
      </c>
      <c r="E519">
        <v>40</v>
      </c>
      <c r="F519" t="s">
        <v>17</v>
      </c>
      <c r="G519">
        <v>1</v>
      </c>
      <c r="H519">
        <v>30</v>
      </c>
      <c r="I519">
        <v>30</v>
      </c>
      <c r="J519" t="str">
        <f t="shared" si="8"/>
        <v>36-45</v>
      </c>
      <c r="M519" s="6" t="s">
        <v>661</v>
      </c>
      <c r="N519">
        <v>120</v>
      </c>
      <c r="V519" s="6">
        <v>502</v>
      </c>
      <c r="W519">
        <v>150</v>
      </c>
      <c r="Y519" s="6">
        <v>517</v>
      </c>
      <c r="Z519">
        <v>100</v>
      </c>
      <c r="AB519" s="6">
        <v>503</v>
      </c>
      <c r="AC519">
        <v>4</v>
      </c>
    </row>
    <row r="520" spans="1:29" x14ac:dyDescent="0.25">
      <c r="A520">
        <v>519</v>
      </c>
      <c r="B520" s="1">
        <v>44949</v>
      </c>
      <c r="C520" t="s">
        <v>547</v>
      </c>
      <c r="D520" t="s">
        <v>16</v>
      </c>
      <c r="E520">
        <v>36</v>
      </c>
      <c r="F520" t="s">
        <v>20</v>
      </c>
      <c r="G520">
        <v>4</v>
      </c>
      <c r="H520">
        <v>30</v>
      </c>
      <c r="I520">
        <v>120</v>
      </c>
      <c r="J520" t="str">
        <f t="shared" si="8"/>
        <v>36-45</v>
      </c>
      <c r="M520" s="6" t="s">
        <v>560</v>
      </c>
      <c r="N520">
        <v>120</v>
      </c>
      <c r="V520" s="6">
        <v>503</v>
      </c>
      <c r="W520">
        <v>2000</v>
      </c>
      <c r="Y520" s="6">
        <v>518</v>
      </c>
      <c r="Z520">
        <v>30</v>
      </c>
      <c r="AB520" s="6">
        <v>504</v>
      </c>
      <c r="AC520">
        <v>3</v>
      </c>
    </row>
    <row r="521" spans="1:29" x14ac:dyDescent="0.25">
      <c r="A521">
        <v>520</v>
      </c>
      <c r="B521" s="1">
        <v>45289</v>
      </c>
      <c r="C521" t="s">
        <v>548</v>
      </c>
      <c r="D521" t="s">
        <v>16</v>
      </c>
      <c r="E521">
        <v>49</v>
      </c>
      <c r="F521" t="s">
        <v>20</v>
      </c>
      <c r="G521">
        <v>4</v>
      </c>
      <c r="H521">
        <v>25</v>
      </c>
      <c r="I521">
        <v>100</v>
      </c>
      <c r="J521" t="str">
        <f t="shared" si="8"/>
        <v>46-60</v>
      </c>
      <c r="M521" s="6" t="s">
        <v>525</v>
      </c>
      <c r="N521">
        <v>120</v>
      </c>
      <c r="V521" s="6">
        <v>504</v>
      </c>
      <c r="W521">
        <v>150</v>
      </c>
      <c r="Y521" s="6">
        <v>519</v>
      </c>
      <c r="Z521">
        <v>120</v>
      </c>
      <c r="AB521" s="6">
        <v>505</v>
      </c>
      <c r="AC521">
        <v>1</v>
      </c>
    </row>
    <row r="522" spans="1:29" x14ac:dyDescent="0.25">
      <c r="A522">
        <v>521</v>
      </c>
      <c r="B522" s="1">
        <v>45150</v>
      </c>
      <c r="C522" t="s">
        <v>549</v>
      </c>
      <c r="D522" t="s">
        <v>16</v>
      </c>
      <c r="E522">
        <v>47</v>
      </c>
      <c r="F522" t="s">
        <v>17</v>
      </c>
      <c r="G522">
        <v>4</v>
      </c>
      <c r="H522">
        <v>30</v>
      </c>
      <c r="I522">
        <v>120</v>
      </c>
      <c r="J522" t="str">
        <f t="shared" si="8"/>
        <v>46-60</v>
      </c>
      <c r="M522" s="6" t="s">
        <v>363</v>
      </c>
      <c r="N522">
        <v>120</v>
      </c>
      <c r="V522" s="6">
        <v>505</v>
      </c>
      <c r="W522">
        <v>50</v>
      </c>
      <c r="Y522" s="6">
        <v>520</v>
      </c>
      <c r="Z522">
        <v>100</v>
      </c>
      <c r="AB522" s="6">
        <v>506</v>
      </c>
      <c r="AC522">
        <v>3</v>
      </c>
    </row>
    <row r="523" spans="1:29" x14ac:dyDescent="0.25">
      <c r="A523">
        <v>522</v>
      </c>
      <c r="B523" s="1">
        <v>44927</v>
      </c>
      <c r="C523" t="s">
        <v>550</v>
      </c>
      <c r="D523" t="s">
        <v>12</v>
      </c>
      <c r="E523">
        <v>46</v>
      </c>
      <c r="F523" t="s">
        <v>13</v>
      </c>
      <c r="G523">
        <v>3</v>
      </c>
      <c r="H523">
        <v>500</v>
      </c>
      <c r="I523">
        <v>1500</v>
      </c>
      <c r="J523" t="str">
        <f t="shared" si="8"/>
        <v>46-60</v>
      </c>
      <c r="M523" s="6" t="s">
        <v>558</v>
      </c>
      <c r="N523">
        <v>120</v>
      </c>
      <c r="V523" s="6">
        <v>506</v>
      </c>
      <c r="W523">
        <v>1500</v>
      </c>
      <c r="Y523" s="6">
        <v>521</v>
      </c>
      <c r="Z523">
        <v>120</v>
      </c>
      <c r="AB523" s="6">
        <v>507</v>
      </c>
      <c r="AC523">
        <v>3</v>
      </c>
    </row>
    <row r="524" spans="1:29" x14ac:dyDescent="0.25">
      <c r="A524">
        <v>523</v>
      </c>
      <c r="B524" s="1">
        <v>45193</v>
      </c>
      <c r="C524" t="s">
        <v>551</v>
      </c>
      <c r="D524" t="s">
        <v>16</v>
      </c>
      <c r="E524">
        <v>62</v>
      </c>
      <c r="F524" t="s">
        <v>20</v>
      </c>
      <c r="G524">
        <v>1</v>
      </c>
      <c r="H524">
        <v>300</v>
      </c>
      <c r="I524">
        <v>300</v>
      </c>
      <c r="J524" t="b">
        <f t="shared" si="8"/>
        <v>0</v>
      </c>
      <c r="M524" s="6" t="s">
        <v>564</v>
      </c>
      <c r="N524">
        <v>120</v>
      </c>
      <c r="V524" s="6">
        <v>507</v>
      </c>
      <c r="W524">
        <v>1500</v>
      </c>
      <c r="Y524" s="6">
        <v>522</v>
      </c>
      <c r="Z524">
        <v>1500</v>
      </c>
      <c r="AB524" s="6">
        <v>508</v>
      </c>
      <c r="AC524">
        <v>2</v>
      </c>
    </row>
    <row r="525" spans="1:29" x14ac:dyDescent="0.25">
      <c r="A525">
        <v>524</v>
      </c>
      <c r="B525" s="1">
        <v>45202</v>
      </c>
      <c r="C525" t="s">
        <v>552</v>
      </c>
      <c r="D525" t="s">
        <v>12</v>
      </c>
      <c r="E525">
        <v>46</v>
      </c>
      <c r="F525" t="s">
        <v>13</v>
      </c>
      <c r="G525">
        <v>4</v>
      </c>
      <c r="H525">
        <v>300</v>
      </c>
      <c r="I525">
        <v>1200</v>
      </c>
      <c r="J525" t="str">
        <f t="shared" si="8"/>
        <v>46-60</v>
      </c>
      <c r="M525" s="6" t="s">
        <v>668</v>
      </c>
      <c r="N525">
        <v>120</v>
      </c>
      <c r="V525" s="6">
        <v>508</v>
      </c>
      <c r="W525">
        <v>600</v>
      </c>
      <c r="Y525" s="6">
        <v>523</v>
      </c>
      <c r="Z525">
        <v>300</v>
      </c>
      <c r="AB525" s="6">
        <v>509</v>
      </c>
      <c r="AC525">
        <v>3</v>
      </c>
    </row>
    <row r="526" spans="1:29" x14ac:dyDescent="0.25">
      <c r="A526">
        <v>525</v>
      </c>
      <c r="B526" s="1">
        <v>45278</v>
      </c>
      <c r="C526" t="s">
        <v>553</v>
      </c>
      <c r="D526" t="s">
        <v>16</v>
      </c>
      <c r="E526">
        <v>47</v>
      </c>
      <c r="F526" t="s">
        <v>13</v>
      </c>
      <c r="G526">
        <v>2</v>
      </c>
      <c r="H526">
        <v>25</v>
      </c>
      <c r="I526">
        <v>50</v>
      </c>
      <c r="J526" t="str">
        <f t="shared" si="8"/>
        <v>46-60</v>
      </c>
      <c r="M526" s="6" t="s">
        <v>549</v>
      </c>
      <c r="N526">
        <v>120</v>
      </c>
      <c r="V526" s="6">
        <v>509</v>
      </c>
      <c r="W526">
        <v>900</v>
      </c>
      <c r="Y526" s="6">
        <v>524</v>
      </c>
      <c r="Z526">
        <v>1200</v>
      </c>
      <c r="AB526" s="6">
        <v>510</v>
      </c>
      <c r="AC526">
        <v>4</v>
      </c>
    </row>
    <row r="527" spans="1:29" x14ac:dyDescent="0.25">
      <c r="A527">
        <v>526</v>
      </c>
      <c r="B527" s="1">
        <v>45270</v>
      </c>
      <c r="C527" t="s">
        <v>554</v>
      </c>
      <c r="D527" t="s">
        <v>12</v>
      </c>
      <c r="E527">
        <v>33</v>
      </c>
      <c r="F527" t="s">
        <v>17</v>
      </c>
      <c r="G527">
        <v>2</v>
      </c>
      <c r="H527">
        <v>50</v>
      </c>
      <c r="I527">
        <v>100</v>
      </c>
      <c r="J527" t="str">
        <f t="shared" si="8"/>
        <v>26-35</v>
      </c>
      <c r="M527" s="6" t="s">
        <v>505</v>
      </c>
      <c r="N527">
        <v>120</v>
      </c>
      <c r="V527" s="6">
        <v>510</v>
      </c>
      <c r="W527">
        <v>200</v>
      </c>
      <c r="Y527" s="6">
        <v>525</v>
      </c>
      <c r="Z527">
        <v>50</v>
      </c>
      <c r="AB527" s="6">
        <v>511</v>
      </c>
      <c r="AC527">
        <v>2</v>
      </c>
    </row>
    <row r="528" spans="1:29" x14ac:dyDescent="0.25">
      <c r="A528">
        <v>527</v>
      </c>
      <c r="B528" s="1">
        <v>45027</v>
      </c>
      <c r="C528" t="s">
        <v>555</v>
      </c>
      <c r="D528" t="s">
        <v>12</v>
      </c>
      <c r="E528">
        <v>57</v>
      </c>
      <c r="F528" t="s">
        <v>17</v>
      </c>
      <c r="G528">
        <v>2</v>
      </c>
      <c r="H528">
        <v>25</v>
      </c>
      <c r="I528">
        <v>50</v>
      </c>
      <c r="J528" t="str">
        <f t="shared" si="8"/>
        <v>46-60</v>
      </c>
      <c r="M528" s="6" t="s">
        <v>547</v>
      </c>
      <c r="N528">
        <v>120</v>
      </c>
      <c r="V528" s="6">
        <v>511</v>
      </c>
      <c r="W528">
        <v>100</v>
      </c>
      <c r="Y528" s="6">
        <v>526</v>
      </c>
      <c r="Z528">
        <v>100</v>
      </c>
      <c r="AB528" s="6">
        <v>512</v>
      </c>
      <c r="AC528">
        <v>1</v>
      </c>
    </row>
    <row r="529" spans="1:29" x14ac:dyDescent="0.25">
      <c r="A529">
        <v>528</v>
      </c>
      <c r="B529" s="1">
        <v>45113</v>
      </c>
      <c r="C529" t="s">
        <v>556</v>
      </c>
      <c r="D529" t="s">
        <v>16</v>
      </c>
      <c r="E529">
        <v>36</v>
      </c>
      <c r="F529" t="s">
        <v>17</v>
      </c>
      <c r="G529">
        <v>2</v>
      </c>
      <c r="H529">
        <v>30</v>
      </c>
      <c r="I529">
        <v>60</v>
      </c>
      <c r="J529" t="str">
        <f t="shared" si="8"/>
        <v>36-45</v>
      </c>
      <c r="M529" s="6" t="s">
        <v>342</v>
      </c>
      <c r="N529">
        <v>120</v>
      </c>
      <c r="V529" s="6">
        <v>512</v>
      </c>
      <c r="W529">
        <v>25</v>
      </c>
      <c r="Y529" s="6">
        <v>527</v>
      </c>
      <c r="Z529">
        <v>50</v>
      </c>
      <c r="AB529" s="6">
        <v>513</v>
      </c>
      <c r="AC529">
        <v>4</v>
      </c>
    </row>
    <row r="530" spans="1:29" x14ac:dyDescent="0.25">
      <c r="A530">
        <v>529</v>
      </c>
      <c r="B530" s="1">
        <v>45147</v>
      </c>
      <c r="C530" t="s">
        <v>557</v>
      </c>
      <c r="D530" t="s">
        <v>16</v>
      </c>
      <c r="E530">
        <v>35</v>
      </c>
      <c r="F530" t="s">
        <v>17</v>
      </c>
      <c r="G530">
        <v>3</v>
      </c>
      <c r="H530">
        <v>50</v>
      </c>
      <c r="I530">
        <v>150</v>
      </c>
      <c r="J530" t="str">
        <f t="shared" si="8"/>
        <v>26-35</v>
      </c>
      <c r="M530" s="6" t="s">
        <v>250</v>
      </c>
      <c r="N530">
        <v>120</v>
      </c>
      <c r="V530" s="6">
        <v>513</v>
      </c>
      <c r="W530">
        <v>100</v>
      </c>
      <c r="Y530" s="6">
        <v>528</v>
      </c>
      <c r="Z530">
        <v>60</v>
      </c>
      <c r="AB530" s="6">
        <v>514</v>
      </c>
      <c r="AC530">
        <v>1</v>
      </c>
    </row>
    <row r="531" spans="1:29" x14ac:dyDescent="0.25">
      <c r="A531">
        <v>530</v>
      </c>
      <c r="B531" s="1">
        <v>44962</v>
      </c>
      <c r="C531" t="s">
        <v>558</v>
      </c>
      <c r="D531" t="s">
        <v>16</v>
      </c>
      <c r="E531">
        <v>18</v>
      </c>
      <c r="F531" t="s">
        <v>20</v>
      </c>
      <c r="G531">
        <v>4</v>
      </c>
      <c r="H531">
        <v>30</v>
      </c>
      <c r="I531">
        <v>120</v>
      </c>
      <c r="J531" t="str">
        <f t="shared" si="8"/>
        <v>18-25</v>
      </c>
      <c r="M531" s="6" t="s">
        <v>49</v>
      </c>
      <c r="N531">
        <v>120</v>
      </c>
      <c r="V531" s="6">
        <v>514</v>
      </c>
      <c r="W531">
        <v>300</v>
      </c>
      <c r="Y531" s="6">
        <v>529</v>
      </c>
      <c r="Z531">
        <v>150</v>
      </c>
      <c r="AB531" s="6">
        <v>515</v>
      </c>
      <c r="AC531">
        <v>3</v>
      </c>
    </row>
    <row r="532" spans="1:29" x14ac:dyDescent="0.25">
      <c r="A532">
        <v>531</v>
      </c>
      <c r="B532" s="1">
        <v>45267</v>
      </c>
      <c r="C532" t="s">
        <v>559</v>
      </c>
      <c r="D532" t="s">
        <v>12</v>
      </c>
      <c r="E532">
        <v>31</v>
      </c>
      <c r="F532" t="s">
        <v>20</v>
      </c>
      <c r="G532">
        <v>1</v>
      </c>
      <c r="H532">
        <v>500</v>
      </c>
      <c r="I532">
        <v>500</v>
      </c>
      <c r="J532" t="str">
        <f t="shared" si="8"/>
        <v>26-35</v>
      </c>
      <c r="M532" s="6" t="s">
        <v>67</v>
      </c>
      <c r="N532">
        <v>120</v>
      </c>
      <c r="V532" s="6">
        <v>515</v>
      </c>
      <c r="W532">
        <v>900</v>
      </c>
      <c r="Y532" s="6">
        <v>530</v>
      </c>
      <c r="Z532">
        <v>120</v>
      </c>
      <c r="AB532" s="6">
        <v>516</v>
      </c>
      <c r="AC532">
        <v>4</v>
      </c>
    </row>
    <row r="533" spans="1:29" x14ac:dyDescent="0.25">
      <c r="A533">
        <v>532</v>
      </c>
      <c r="B533" s="1">
        <v>45096</v>
      </c>
      <c r="C533" t="s">
        <v>560</v>
      </c>
      <c r="D533" t="s">
        <v>16</v>
      </c>
      <c r="E533">
        <v>64</v>
      </c>
      <c r="F533" t="s">
        <v>17</v>
      </c>
      <c r="G533">
        <v>4</v>
      </c>
      <c r="H533">
        <v>30</v>
      </c>
      <c r="I533">
        <v>120</v>
      </c>
      <c r="J533" t="b">
        <f t="shared" si="8"/>
        <v>0</v>
      </c>
      <c r="M533" s="6" t="s">
        <v>201</v>
      </c>
      <c r="N533">
        <v>120</v>
      </c>
      <c r="V533" s="6">
        <v>516</v>
      </c>
      <c r="W533">
        <v>100</v>
      </c>
      <c r="Y533" s="6">
        <v>531</v>
      </c>
      <c r="Z533">
        <v>500</v>
      </c>
      <c r="AB533" s="6">
        <v>517</v>
      </c>
      <c r="AC533">
        <v>4</v>
      </c>
    </row>
    <row r="534" spans="1:29" x14ac:dyDescent="0.25">
      <c r="A534">
        <v>533</v>
      </c>
      <c r="B534" s="1">
        <v>45246</v>
      </c>
      <c r="C534" t="s">
        <v>561</v>
      </c>
      <c r="D534" t="s">
        <v>12</v>
      </c>
      <c r="E534">
        <v>19</v>
      </c>
      <c r="F534" t="s">
        <v>20</v>
      </c>
      <c r="G534">
        <v>3</v>
      </c>
      <c r="H534">
        <v>500</v>
      </c>
      <c r="I534">
        <v>1500</v>
      </c>
      <c r="J534" t="str">
        <f t="shared" si="8"/>
        <v>18-25</v>
      </c>
      <c r="M534" s="6" t="s">
        <v>178</v>
      </c>
      <c r="N534">
        <v>120</v>
      </c>
      <c r="V534" s="6">
        <v>517</v>
      </c>
      <c r="W534">
        <v>100</v>
      </c>
      <c r="Y534" s="6">
        <v>532</v>
      </c>
      <c r="Z534">
        <v>120</v>
      </c>
      <c r="AB534" s="6">
        <v>518</v>
      </c>
      <c r="AC534">
        <v>1</v>
      </c>
    </row>
    <row r="535" spans="1:29" x14ac:dyDescent="0.25">
      <c r="A535">
        <v>534</v>
      </c>
      <c r="B535" s="1">
        <v>45087</v>
      </c>
      <c r="C535" t="s">
        <v>562</v>
      </c>
      <c r="D535" t="s">
        <v>12</v>
      </c>
      <c r="E535">
        <v>45</v>
      </c>
      <c r="F535" t="s">
        <v>17</v>
      </c>
      <c r="G535">
        <v>2</v>
      </c>
      <c r="H535">
        <v>500</v>
      </c>
      <c r="I535">
        <v>1000</v>
      </c>
      <c r="J535" t="str">
        <f t="shared" si="8"/>
        <v>36-45</v>
      </c>
      <c r="M535" s="6" t="s">
        <v>150</v>
      </c>
      <c r="N535">
        <v>120</v>
      </c>
      <c r="V535" s="6">
        <v>518</v>
      </c>
      <c r="W535">
        <v>30</v>
      </c>
      <c r="Y535" s="6">
        <v>533</v>
      </c>
      <c r="Z535">
        <v>1500</v>
      </c>
      <c r="AB535" s="6">
        <v>519</v>
      </c>
      <c r="AC535">
        <v>4</v>
      </c>
    </row>
    <row r="536" spans="1:29" x14ac:dyDescent="0.25">
      <c r="A536">
        <v>535</v>
      </c>
      <c r="B536" s="1">
        <v>45266</v>
      </c>
      <c r="C536" t="s">
        <v>563</v>
      </c>
      <c r="D536" t="s">
        <v>12</v>
      </c>
      <c r="E536">
        <v>47</v>
      </c>
      <c r="F536" t="s">
        <v>13</v>
      </c>
      <c r="G536">
        <v>3</v>
      </c>
      <c r="H536">
        <v>30</v>
      </c>
      <c r="I536">
        <v>90</v>
      </c>
      <c r="J536" t="str">
        <f t="shared" si="8"/>
        <v>46-60</v>
      </c>
      <c r="M536" s="6" t="s">
        <v>290</v>
      </c>
      <c r="N536">
        <v>120</v>
      </c>
      <c r="V536" s="6">
        <v>519</v>
      </c>
      <c r="W536">
        <v>120</v>
      </c>
      <c r="Y536" s="6">
        <v>534</v>
      </c>
      <c r="Z536">
        <v>1000</v>
      </c>
      <c r="AB536" s="6">
        <v>520</v>
      </c>
      <c r="AC536">
        <v>4</v>
      </c>
    </row>
    <row r="537" spans="1:29" x14ac:dyDescent="0.25">
      <c r="A537">
        <v>536</v>
      </c>
      <c r="B537" s="1">
        <v>44990</v>
      </c>
      <c r="C537" t="s">
        <v>564</v>
      </c>
      <c r="D537" t="s">
        <v>16</v>
      </c>
      <c r="E537">
        <v>55</v>
      </c>
      <c r="F537" t="s">
        <v>13</v>
      </c>
      <c r="G537">
        <v>4</v>
      </c>
      <c r="H537">
        <v>30</v>
      </c>
      <c r="I537">
        <v>120</v>
      </c>
      <c r="J537" t="str">
        <f t="shared" si="8"/>
        <v>46-60</v>
      </c>
      <c r="M537" s="6" t="s">
        <v>1028</v>
      </c>
      <c r="N537">
        <v>120</v>
      </c>
      <c r="V537" s="6">
        <v>520</v>
      </c>
      <c r="W537">
        <v>100</v>
      </c>
      <c r="Y537" s="6">
        <v>535</v>
      </c>
      <c r="Z537">
        <v>90</v>
      </c>
      <c r="AB537" s="6">
        <v>521</v>
      </c>
      <c r="AC537">
        <v>4</v>
      </c>
    </row>
    <row r="538" spans="1:29" x14ac:dyDescent="0.25">
      <c r="A538">
        <v>537</v>
      </c>
      <c r="B538" s="1">
        <v>45080</v>
      </c>
      <c r="C538" t="s">
        <v>565</v>
      </c>
      <c r="D538" t="s">
        <v>16</v>
      </c>
      <c r="E538">
        <v>21</v>
      </c>
      <c r="F538" t="s">
        <v>13</v>
      </c>
      <c r="G538">
        <v>1</v>
      </c>
      <c r="H538">
        <v>500</v>
      </c>
      <c r="I538">
        <v>500</v>
      </c>
      <c r="J538" t="str">
        <f t="shared" si="8"/>
        <v>18-25</v>
      </c>
      <c r="M538" s="6" t="s">
        <v>83</v>
      </c>
      <c r="N538">
        <v>120</v>
      </c>
      <c r="V538" s="6">
        <v>521</v>
      </c>
      <c r="W538">
        <v>120</v>
      </c>
      <c r="Y538" s="6">
        <v>536</v>
      </c>
      <c r="Z538">
        <v>120</v>
      </c>
      <c r="AB538" s="6">
        <v>522</v>
      </c>
      <c r="AC538">
        <v>3</v>
      </c>
    </row>
    <row r="539" spans="1:29" x14ac:dyDescent="0.25">
      <c r="A539">
        <v>538</v>
      </c>
      <c r="B539" s="1">
        <v>45186</v>
      </c>
      <c r="C539" t="s">
        <v>566</v>
      </c>
      <c r="D539" t="s">
        <v>12</v>
      </c>
      <c r="E539">
        <v>18</v>
      </c>
      <c r="F539" t="s">
        <v>17</v>
      </c>
      <c r="G539">
        <v>3</v>
      </c>
      <c r="H539">
        <v>50</v>
      </c>
      <c r="I539">
        <v>150</v>
      </c>
      <c r="J539" t="str">
        <f t="shared" si="8"/>
        <v>18-25</v>
      </c>
      <c r="M539" s="6" t="s">
        <v>329</v>
      </c>
      <c r="N539">
        <v>120</v>
      </c>
      <c r="V539" s="6">
        <v>522</v>
      </c>
      <c r="W539">
        <v>1500</v>
      </c>
      <c r="Y539" s="6">
        <v>537</v>
      </c>
      <c r="Z539">
        <v>500</v>
      </c>
      <c r="AB539" s="6">
        <v>523</v>
      </c>
      <c r="AC539">
        <v>1</v>
      </c>
    </row>
    <row r="540" spans="1:29" x14ac:dyDescent="0.25">
      <c r="A540">
        <v>539</v>
      </c>
      <c r="B540" s="1">
        <v>45085</v>
      </c>
      <c r="C540" t="s">
        <v>567</v>
      </c>
      <c r="D540" t="s">
        <v>12</v>
      </c>
      <c r="E540">
        <v>25</v>
      </c>
      <c r="F540" t="s">
        <v>13</v>
      </c>
      <c r="G540">
        <v>1</v>
      </c>
      <c r="H540">
        <v>500</v>
      </c>
      <c r="I540">
        <v>500</v>
      </c>
      <c r="J540" t="str">
        <f t="shared" si="8"/>
        <v>18-25</v>
      </c>
      <c r="M540" s="6" t="s">
        <v>299</v>
      </c>
      <c r="N540">
        <v>120</v>
      </c>
      <c r="V540" s="6">
        <v>523</v>
      </c>
      <c r="W540">
        <v>300</v>
      </c>
      <c r="Y540" s="6">
        <v>538</v>
      </c>
      <c r="Z540">
        <v>150</v>
      </c>
      <c r="AB540" s="6">
        <v>524</v>
      </c>
      <c r="AC540">
        <v>4</v>
      </c>
    </row>
    <row r="541" spans="1:29" x14ac:dyDescent="0.25">
      <c r="A541">
        <v>540</v>
      </c>
      <c r="B541" s="1">
        <v>45268</v>
      </c>
      <c r="C541" t="s">
        <v>568</v>
      </c>
      <c r="D541" t="s">
        <v>16</v>
      </c>
      <c r="E541">
        <v>46</v>
      </c>
      <c r="F541" t="s">
        <v>20</v>
      </c>
      <c r="G541">
        <v>3</v>
      </c>
      <c r="H541">
        <v>300</v>
      </c>
      <c r="I541">
        <v>900</v>
      </c>
      <c r="J541" t="str">
        <f t="shared" si="8"/>
        <v>46-60</v>
      </c>
      <c r="M541" s="6" t="s">
        <v>340</v>
      </c>
      <c r="N541">
        <v>120</v>
      </c>
      <c r="V541" s="6">
        <v>524</v>
      </c>
      <c r="W541">
        <v>1200</v>
      </c>
      <c r="Y541" s="6">
        <v>539</v>
      </c>
      <c r="Z541">
        <v>500</v>
      </c>
      <c r="AB541" s="6">
        <v>525</v>
      </c>
      <c r="AC541">
        <v>2</v>
      </c>
    </row>
    <row r="542" spans="1:29" x14ac:dyDescent="0.25">
      <c r="A542">
        <v>541</v>
      </c>
      <c r="B542" s="1">
        <v>45136</v>
      </c>
      <c r="C542" t="s">
        <v>569</v>
      </c>
      <c r="D542" t="s">
        <v>12</v>
      </c>
      <c r="E542">
        <v>56</v>
      </c>
      <c r="F542" t="s">
        <v>13</v>
      </c>
      <c r="G542">
        <v>1</v>
      </c>
      <c r="H542">
        <v>500</v>
      </c>
      <c r="I542">
        <v>500</v>
      </c>
      <c r="J542" t="str">
        <f t="shared" si="8"/>
        <v>46-60</v>
      </c>
      <c r="M542" s="6" t="s">
        <v>38</v>
      </c>
      <c r="N542">
        <v>120</v>
      </c>
      <c r="V542" s="6">
        <v>525</v>
      </c>
      <c r="W542">
        <v>50</v>
      </c>
      <c r="Y542" s="6">
        <v>540</v>
      </c>
      <c r="Z542">
        <v>900</v>
      </c>
      <c r="AB542" s="6">
        <v>526</v>
      </c>
      <c r="AC542">
        <v>2</v>
      </c>
    </row>
    <row r="543" spans="1:29" x14ac:dyDescent="0.25">
      <c r="A543">
        <v>542</v>
      </c>
      <c r="B543" s="1">
        <v>45094</v>
      </c>
      <c r="C543" t="s">
        <v>570</v>
      </c>
      <c r="D543" t="s">
        <v>16</v>
      </c>
      <c r="E543">
        <v>20</v>
      </c>
      <c r="F543" t="s">
        <v>13</v>
      </c>
      <c r="G543">
        <v>1</v>
      </c>
      <c r="H543">
        <v>50</v>
      </c>
      <c r="I543">
        <v>50</v>
      </c>
      <c r="J543" t="str">
        <f t="shared" si="8"/>
        <v>18-25</v>
      </c>
      <c r="M543" s="6" t="s">
        <v>210</v>
      </c>
      <c r="N543">
        <v>120</v>
      </c>
      <c r="V543" s="6">
        <v>526</v>
      </c>
      <c r="W543">
        <v>100</v>
      </c>
      <c r="Y543" s="6">
        <v>541</v>
      </c>
      <c r="Z543">
        <v>500</v>
      </c>
      <c r="AB543" s="6">
        <v>527</v>
      </c>
      <c r="AC543">
        <v>2</v>
      </c>
    </row>
    <row r="544" spans="1:29" x14ac:dyDescent="0.25">
      <c r="A544">
        <v>543</v>
      </c>
      <c r="B544" s="1">
        <v>45133</v>
      </c>
      <c r="C544" t="s">
        <v>571</v>
      </c>
      <c r="D544" t="s">
        <v>12</v>
      </c>
      <c r="E544">
        <v>49</v>
      </c>
      <c r="F544" t="s">
        <v>13</v>
      </c>
      <c r="G544">
        <v>2</v>
      </c>
      <c r="H544">
        <v>300</v>
      </c>
      <c r="I544">
        <v>600</v>
      </c>
      <c r="J544" t="str">
        <f t="shared" si="8"/>
        <v>46-60</v>
      </c>
      <c r="M544" s="6" t="s">
        <v>120</v>
      </c>
      <c r="N544">
        <v>120</v>
      </c>
      <c r="V544" s="6">
        <v>527</v>
      </c>
      <c r="W544">
        <v>50</v>
      </c>
      <c r="Y544" s="6">
        <v>542</v>
      </c>
      <c r="Z544">
        <v>50</v>
      </c>
      <c r="AB544" s="6">
        <v>528</v>
      </c>
      <c r="AC544">
        <v>2</v>
      </c>
    </row>
    <row r="545" spans="1:29" x14ac:dyDescent="0.25">
      <c r="A545">
        <v>544</v>
      </c>
      <c r="B545" s="1">
        <v>45283</v>
      </c>
      <c r="C545" t="s">
        <v>572</v>
      </c>
      <c r="D545" t="s">
        <v>16</v>
      </c>
      <c r="E545">
        <v>27</v>
      </c>
      <c r="F545" t="s">
        <v>20</v>
      </c>
      <c r="G545">
        <v>1</v>
      </c>
      <c r="H545">
        <v>25</v>
      </c>
      <c r="I545">
        <v>25</v>
      </c>
      <c r="J545" t="str">
        <f t="shared" si="8"/>
        <v>26-35</v>
      </c>
      <c r="M545" s="6" t="s">
        <v>316</v>
      </c>
      <c r="N545">
        <v>120</v>
      </c>
      <c r="V545" s="6">
        <v>528</v>
      </c>
      <c r="W545">
        <v>60</v>
      </c>
      <c r="Y545" s="6">
        <v>543</v>
      </c>
      <c r="Z545">
        <v>600</v>
      </c>
      <c r="AB545" s="6">
        <v>529</v>
      </c>
      <c r="AC545">
        <v>3</v>
      </c>
    </row>
    <row r="546" spans="1:29" x14ac:dyDescent="0.25">
      <c r="A546">
        <v>545</v>
      </c>
      <c r="B546" s="1">
        <v>45078</v>
      </c>
      <c r="C546" t="s">
        <v>573</v>
      </c>
      <c r="D546" t="s">
        <v>12</v>
      </c>
      <c r="E546">
        <v>27</v>
      </c>
      <c r="F546" t="s">
        <v>17</v>
      </c>
      <c r="G546">
        <v>2</v>
      </c>
      <c r="H546">
        <v>25</v>
      </c>
      <c r="I546">
        <v>50</v>
      </c>
      <c r="J546" t="str">
        <f t="shared" si="8"/>
        <v>26-35</v>
      </c>
      <c r="M546" s="6" t="s">
        <v>831</v>
      </c>
      <c r="N546">
        <v>100</v>
      </c>
      <c r="V546" s="6">
        <v>529</v>
      </c>
      <c r="W546">
        <v>150</v>
      </c>
      <c r="Y546" s="6">
        <v>544</v>
      </c>
      <c r="Z546">
        <v>25</v>
      </c>
      <c r="AB546" s="6">
        <v>530</v>
      </c>
      <c r="AC546">
        <v>4</v>
      </c>
    </row>
    <row r="547" spans="1:29" x14ac:dyDescent="0.25">
      <c r="A547">
        <v>546</v>
      </c>
      <c r="B547" s="1">
        <v>45210</v>
      </c>
      <c r="C547" t="s">
        <v>574</v>
      </c>
      <c r="D547" t="s">
        <v>16</v>
      </c>
      <c r="E547">
        <v>36</v>
      </c>
      <c r="F547" t="s">
        <v>20</v>
      </c>
      <c r="G547">
        <v>4</v>
      </c>
      <c r="H547">
        <v>50</v>
      </c>
      <c r="I547">
        <v>200</v>
      </c>
      <c r="J547" t="str">
        <f t="shared" si="8"/>
        <v>36-45</v>
      </c>
      <c r="M547" s="6" t="s">
        <v>782</v>
      </c>
      <c r="N547">
        <v>100</v>
      </c>
      <c r="V547" s="6">
        <v>530</v>
      </c>
      <c r="W547">
        <v>120</v>
      </c>
      <c r="Y547" s="6">
        <v>545</v>
      </c>
      <c r="Z547">
        <v>50</v>
      </c>
      <c r="AB547" s="6">
        <v>531</v>
      </c>
      <c r="AC547">
        <v>1</v>
      </c>
    </row>
    <row r="548" spans="1:29" x14ac:dyDescent="0.25">
      <c r="A548">
        <v>547</v>
      </c>
      <c r="B548" s="1">
        <v>44992</v>
      </c>
      <c r="C548" t="s">
        <v>575</v>
      </c>
      <c r="D548" t="s">
        <v>12</v>
      </c>
      <c r="E548">
        <v>63</v>
      </c>
      <c r="F548" t="s">
        <v>17</v>
      </c>
      <c r="G548">
        <v>4</v>
      </c>
      <c r="H548">
        <v>500</v>
      </c>
      <c r="I548">
        <v>2000</v>
      </c>
      <c r="J548" t="b">
        <f t="shared" si="8"/>
        <v>0</v>
      </c>
      <c r="M548" s="6" t="s">
        <v>960</v>
      </c>
      <c r="N548">
        <v>100</v>
      </c>
      <c r="V548" s="6">
        <v>531</v>
      </c>
      <c r="W548">
        <v>500</v>
      </c>
      <c r="Y548" s="6">
        <v>546</v>
      </c>
      <c r="Z548">
        <v>200</v>
      </c>
      <c r="AB548" s="6">
        <v>532</v>
      </c>
      <c r="AC548">
        <v>4</v>
      </c>
    </row>
    <row r="549" spans="1:29" x14ac:dyDescent="0.25">
      <c r="A549">
        <v>548</v>
      </c>
      <c r="B549" s="1">
        <v>45025</v>
      </c>
      <c r="C549" t="s">
        <v>576</v>
      </c>
      <c r="D549" t="s">
        <v>16</v>
      </c>
      <c r="E549">
        <v>51</v>
      </c>
      <c r="F549" t="s">
        <v>17</v>
      </c>
      <c r="G549">
        <v>2</v>
      </c>
      <c r="H549">
        <v>30</v>
      </c>
      <c r="I549">
        <v>60</v>
      </c>
      <c r="J549" t="str">
        <f t="shared" si="8"/>
        <v>46-60</v>
      </c>
      <c r="M549" s="6" t="s">
        <v>717</v>
      </c>
      <c r="N549">
        <v>100</v>
      </c>
      <c r="V549" s="6">
        <v>532</v>
      </c>
      <c r="W549">
        <v>120</v>
      </c>
      <c r="Y549" s="6">
        <v>547</v>
      </c>
      <c r="Z549">
        <v>2000</v>
      </c>
      <c r="AB549" s="6">
        <v>533</v>
      </c>
      <c r="AC549">
        <v>3</v>
      </c>
    </row>
    <row r="550" spans="1:29" x14ac:dyDescent="0.25">
      <c r="A550">
        <v>549</v>
      </c>
      <c r="B550" s="1">
        <v>45142</v>
      </c>
      <c r="C550" t="s">
        <v>577</v>
      </c>
      <c r="D550" t="s">
        <v>16</v>
      </c>
      <c r="E550">
        <v>50</v>
      </c>
      <c r="F550" t="s">
        <v>13</v>
      </c>
      <c r="G550">
        <v>2</v>
      </c>
      <c r="H550">
        <v>50</v>
      </c>
      <c r="I550">
        <v>100</v>
      </c>
      <c r="J550" t="str">
        <f t="shared" si="8"/>
        <v>46-60</v>
      </c>
      <c r="M550" s="6" t="s">
        <v>827</v>
      </c>
      <c r="N550">
        <v>100</v>
      </c>
      <c r="V550" s="6">
        <v>533</v>
      </c>
      <c r="W550">
        <v>1500</v>
      </c>
      <c r="Y550" s="6">
        <v>548</v>
      </c>
      <c r="Z550">
        <v>60</v>
      </c>
      <c r="AB550" s="6">
        <v>534</v>
      </c>
      <c r="AC550">
        <v>2</v>
      </c>
    </row>
    <row r="551" spans="1:29" x14ac:dyDescent="0.25">
      <c r="A551">
        <v>550</v>
      </c>
      <c r="B551" s="1">
        <v>45267</v>
      </c>
      <c r="C551" t="s">
        <v>578</v>
      </c>
      <c r="D551" t="s">
        <v>12</v>
      </c>
      <c r="E551">
        <v>40</v>
      </c>
      <c r="F551" t="s">
        <v>17</v>
      </c>
      <c r="G551">
        <v>3</v>
      </c>
      <c r="H551">
        <v>300</v>
      </c>
      <c r="I551">
        <v>900</v>
      </c>
      <c r="J551" t="str">
        <f t="shared" si="8"/>
        <v>36-45</v>
      </c>
      <c r="M551" s="6" t="s">
        <v>743</v>
      </c>
      <c r="N551">
        <v>100</v>
      </c>
      <c r="V551" s="6">
        <v>534</v>
      </c>
      <c r="W551">
        <v>1000</v>
      </c>
      <c r="Y551" s="6">
        <v>549</v>
      </c>
      <c r="Z551">
        <v>100</v>
      </c>
      <c r="AB551" s="6">
        <v>535</v>
      </c>
      <c r="AC551">
        <v>3</v>
      </c>
    </row>
    <row r="552" spans="1:29" x14ac:dyDescent="0.25">
      <c r="A552">
        <v>551</v>
      </c>
      <c r="B552" s="1">
        <v>45121</v>
      </c>
      <c r="C552" t="s">
        <v>579</v>
      </c>
      <c r="D552" t="s">
        <v>12</v>
      </c>
      <c r="E552">
        <v>45</v>
      </c>
      <c r="F552" t="s">
        <v>20</v>
      </c>
      <c r="G552">
        <v>3</v>
      </c>
      <c r="H552">
        <v>300</v>
      </c>
      <c r="I552">
        <v>900</v>
      </c>
      <c r="J552" t="str">
        <f t="shared" si="8"/>
        <v>36-45</v>
      </c>
      <c r="M552" s="6" t="s">
        <v>901</v>
      </c>
      <c r="N552">
        <v>100</v>
      </c>
      <c r="V552" s="6">
        <v>535</v>
      </c>
      <c r="W552">
        <v>90</v>
      </c>
      <c r="Y552" s="6">
        <v>550</v>
      </c>
      <c r="Z552">
        <v>900</v>
      </c>
      <c r="AB552" s="6">
        <v>536</v>
      </c>
      <c r="AC552">
        <v>4</v>
      </c>
    </row>
    <row r="553" spans="1:29" x14ac:dyDescent="0.25">
      <c r="A553">
        <v>552</v>
      </c>
      <c r="B553" s="1">
        <v>45273</v>
      </c>
      <c r="C553" t="s">
        <v>580</v>
      </c>
      <c r="D553" t="s">
        <v>16</v>
      </c>
      <c r="E553">
        <v>49</v>
      </c>
      <c r="F553" t="s">
        <v>20</v>
      </c>
      <c r="G553">
        <v>3</v>
      </c>
      <c r="H553">
        <v>25</v>
      </c>
      <c r="I553">
        <v>75</v>
      </c>
      <c r="J553" t="str">
        <f t="shared" si="8"/>
        <v>46-60</v>
      </c>
      <c r="M553" s="6" t="s">
        <v>837</v>
      </c>
      <c r="N553">
        <v>100</v>
      </c>
      <c r="V553" s="6">
        <v>536</v>
      </c>
      <c r="W553">
        <v>120</v>
      </c>
      <c r="Y553" s="6">
        <v>551</v>
      </c>
      <c r="Z553">
        <v>900</v>
      </c>
      <c r="AB553" s="6">
        <v>537</v>
      </c>
      <c r="AC553">
        <v>1</v>
      </c>
    </row>
    <row r="554" spans="1:29" x14ac:dyDescent="0.25">
      <c r="A554">
        <v>553</v>
      </c>
      <c r="B554" s="1">
        <v>45016</v>
      </c>
      <c r="C554" t="s">
        <v>581</v>
      </c>
      <c r="D554" t="s">
        <v>12</v>
      </c>
      <c r="E554">
        <v>24</v>
      </c>
      <c r="F554" t="s">
        <v>17</v>
      </c>
      <c r="G554">
        <v>4</v>
      </c>
      <c r="H554">
        <v>300</v>
      </c>
      <c r="I554">
        <v>1200</v>
      </c>
      <c r="J554" t="str">
        <f t="shared" si="8"/>
        <v>18-25</v>
      </c>
      <c r="M554" s="6" t="s">
        <v>886</v>
      </c>
      <c r="N554">
        <v>100</v>
      </c>
      <c r="V554" s="6">
        <v>537</v>
      </c>
      <c r="W554">
        <v>500</v>
      </c>
      <c r="Y554" s="6">
        <v>552</v>
      </c>
      <c r="Z554">
        <v>75</v>
      </c>
      <c r="AB554" s="6">
        <v>538</v>
      </c>
      <c r="AC554">
        <v>3</v>
      </c>
    </row>
    <row r="555" spans="1:29" x14ac:dyDescent="0.25">
      <c r="A555">
        <v>554</v>
      </c>
      <c r="B555" s="1">
        <v>45242</v>
      </c>
      <c r="C555" t="s">
        <v>582</v>
      </c>
      <c r="D555" t="s">
        <v>16</v>
      </c>
      <c r="E555">
        <v>46</v>
      </c>
      <c r="F555" t="s">
        <v>13</v>
      </c>
      <c r="G555">
        <v>3</v>
      </c>
      <c r="H555">
        <v>50</v>
      </c>
      <c r="I555">
        <v>150</v>
      </c>
      <c r="J555" t="str">
        <f t="shared" si="8"/>
        <v>46-60</v>
      </c>
      <c r="M555" s="6" t="s">
        <v>915</v>
      </c>
      <c r="N555">
        <v>100</v>
      </c>
      <c r="V555" s="6">
        <v>538</v>
      </c>
      <c r="W555">
        <v>150</v>
      </c>
      <c r="Y555" s="6">
        <v>553</v>
      </c>
      <c r="Z555">
        <v>1200</v>
      </c>
      <c r="AB555" s="6">
        <v>539</v>
      </c>
      <c r="AC555">
        <v>1</v>
      </c>
    </row>
    <row r="556" spans="1:29" x14ac:dyDescent="0.25">
      <c r="A556">
        <v>555</v>
      </c>
      <c r="B556" s="1">
        <v>45218</v>
      </c>
      <c r="C556" t="s">
        <v>583</v>
      </c>
      <c r="D556" t="s">
        <v>12</v>
      </c>
      <c r="E556">
        <v>25</v>
      </c>
      <c r="F556" t="s">
        <v>13</v>
      </c>
      <c r="G556">
        <v>1</v>
      </c>
      <c r="H556">
        <v>300</v>
      </c>
      <c r="I556">
        <v>300</v>
      </c>
      <c r="J556" t="str">
        <f t="shared" si="8"/>
        <v>18-25</v>
      </c>
      <c r="M556" s="6" t="s">
        <v>720</v>
      </c>
      <c r="N556">
        <v>100</v>
      </c>
      <c r="V556" s="6">
        <v>539</v>
      </c>
      <c r="W556">
        <v>500</v>
      </c>
      <c r="Y556" s="6">
        <v>554</v>
      </c>
      <c r="Z556">
        <v>150</v>
      </c>
      <c r="AB556" s="6">
        <v>540</v>
      </c>
      <c r="AC556">
        <v>3</v>
      </c>
    </row>
    <row r="557" spans="1:29" x14ac:dyDescent="0.25">
      <c r="A557">
        <v>556</v>
      </c>
      <c r="B557" s="1">
        <v>45081</v>
      </c>
      <c r="C557" t="s">
        <v>584</v>
      </c>
      <c r="D557" t="s">
        <v>16</v>
      </c>
      <c r="E557">
        <v>18</v>
      </c>
      <c r="F557" t="s">
        <v>20</v>
      </c>
      <c r="G557">
        <v>1</v>
      </c>
      <c r="H557">
        <v>50</v>
      </c>
      <c r="I557">
        <v>50</v>
      </c>
      <c r="J557" t="str">
        <f t="shared" si="8"/>
        <v>18-25</v>
      </c>
      <c r="M557" s="6" t="s">
        <v>916</v>
      </c>
      <c r="N557">
        <v>100</v>
      </c>
      <c r="V557" s="6">
        <v>540</v>
      </c>
      <c r="W557">
        <v>900</v>
      </c>
      <c r="Y557" s="6">
        <v>555</v>
      </c>
      <c r="Z557">
        <v>300</v>
      </c>
      <c r="AB557" s="6">
        <v>541</v>
      </c>
      <c r="AC557">
        <v>1</v>
      </c>
    </row>
    <row r="558" spans="1:29" x14ac:dyDescent="0.25">
      <c r="A558">
        <v>557</v>
      </c>
      <c r="B558" s="1">
        <v>45134</v>
      </c>
      <c r="C558" t="s">
        <v>585</v>
      </c>
      <c r="D558" t="s">
        <v>16</v>
      </c>
      <c r="E558">
        <v>20</v>
      </c>
      <c r="F558" t="s">
        <v>13</v>
      </c>
      <c r="G558">
        <v>3</v>
      </c>
      <c r="H558">
        <v>30</v>
      </c>
      <c r="I558">
        <v>90</v>
      </c>
      <c r="J558" t="str">
        <f t="shared" si="8"/>
        <v>18-25</v>
      </c>
      <c r="M558" s="6" t="s">
        <v>731</v>
      </c>
      <c r="N558">
        <v>100</v>
      </c>
      <c r="V558" s="6">
        <v>541</v>
      </c>
      <c r="W558">
        <v>500</v>
      </c>
      <c r="Y558" s="6">
        <v>556</v>
      </c>
      <c r="Z558">
        <v>50</v>
      </c>
      <c r="AB558" s="6">
        <v>542</v>
      </c>
      <c r="AC558">
        <v>1</v>
      </c>
    </row>
    <row r="559" spans="1:29" x14ac:dyDescent="0.25">
      <c r="A559">
        <v>558</v>
      </c>
      <c r="B559" s="1">
        <v>45207</v>
      </c>
      <c r="C559" t="s">
        <v>586</v>
      </c>
      <c r="D559" t="s">
        <v>16</v>
      </c>
      <c r="E559">
        <v>41</v>
      </c>
      <c r="F559" t="s">
        <v>17</v>
      </c>
      <c r="G559">
        <v>1</v>
      </c>
      <c r="H559">
        <v>25</v>
      </c>
      <c r="I559">
        <v>25</v>
      </c>
      <c r="J559" t="str">
        <f t="shared" si="8"/>
        <v>36-45</v>
      </c>
      <c r="M559" s="6" t="s">
        <v>847</v>
      </c>
      <c r="N559">
        <v>100</v>
      </c>
      <c r="V559" s="6">
        <v>542</v>
      </c>
      <c r="W559">
        <v>50</v>
      </c>
      <c r="Y559" s="6">
        <v>557</v>
      </c>
      <c r="Z559">
        <v>90</v>
      </c>
      <c r="AB559" s="6">
        <v>543</v>
      </c>
      <c r="AC559">
        <v>2</v>
      </c>
    </row>
    <row r="560" spans="1:29" x14ac:dyDescent="0.25">
      <c r="A560">
        <v>559</v>
      </c>
      <c r="B560" s="1">
        <v>44927</v>
      </c>
      <c r="C560" t="s">
        <v>587</v>
      </c>
      <c r="D560" t="s">
        <v>16</v>
      </c>
      <c r="E560">
        <v>40</v>
      </c>
      <c r="F560" t="s">
        <v>17</v>
      </c>
      <c r="G560">
        <v>4</v>
      </c>
      <c r="H560">
        <v>300</v>
      </c>
      <c r="I560">
        <v>1200</v>
      </c>
      <c r="J560" t="str">
        <f t="shared" si="8"/>
        <v>36-45</v>
      </c>
      <c r="M560" s="6" t="s">
        <v>1019</v>
      </c>
      <c r="N560">
        <v>100</v>
      </c>
      <c r="V560" s="6">
        <v>543</v>
      </c>
      <c r="W560">
        <v>600</v>
      </c>
      <c r="Y560" s="6">
        <v>558</v>
      </c>
      <c r="Z560">
        <v>25</v>
      </c>
      <c r="AB560" s="6">
        <v>544</v>
      </c>
      <c r="AC560">
        <v>1</v>
      </c>
    </row>
    <row r="561" spans="1:29" x14ac:dyDescent="0.25">
      <c r="A561">
        <v>560</v>
      </c>
      <c r="B561" s="1">
        <v>45082</v>
      </c>
      <c r="C561" t="s">
        <v>588</v>
      </c>
      <c r="D561" t="s">
        <v>16</v>
      </c>
      <c r="E561">
        <v>25</v>
      </c>
      <c r="F561" t="s">
        <v>20</v>
      </c>
      <c r="G561">
        <v>1</v>
      </c>
      <c r="H561">
        <v>50</v>
      </c>
      <c r="I561">
        <v>50</v>
      </c>
      <c r="J561" t="str">
        <f t="shared" si="8"/>
        <v>18-25</v>
      </c>
      <c r="M561" s="6" t="s">
        <v>1026</v>
      </c>
      <c r="N561">
        <v>100</v>
      </c>
      <c r="V561" s="6">
        <v>544</v>
      </c>
      <c r="W561">
        <v>25</v>
      </c>
      <c r="Y561" s="6">
        <v>559</v>
      </c>
      <c r="Z561">
        <v>1200</v>
      </c>
      <c r="AB561" s="6">
        <v>545</v>
      </c>
      <c r="AC561">
        <v>2</v>
      </c>
    </row>
    <row r="562" spans="1:29" x14ac:dyDescent="0.25">
      <c r="A562">
        <v>561</v>
      </c>
      <c r="B562" s="1">
        <v>45073</v>
      </c>
      <c r="C562" t="s">
        <v>589</v>
      </c>
      <c r="D562" t="s">
        <v>16</v>
      </c>
      <c r="E562">
        <v>64</v>
      </c>
      <c r="F562" t="s">
        <v>17</v>
      </c>
      <c r="G562">
        <v>4</v>
      </c>
      <c r="H562">
        <v>500</v>
      </c>
      <c r="I562">
        <v>2000</v>
      </c>
      <c r="J562" t="b">
        <f t="shared" si="8"/>
        <v>0</v>
      </c>
      <c r="M562" s="6" t="s">
        <v>780</v>
      </c>
      <c r="N562">
        <v>100</v>
      </c>
      <c r="V562" s="6">
        <v>545</v>
      </c>
      <c r="W562">
        <v>50</v>
      </c>
      <c r="Y562" s="6">
        <v>560</v>
      </c>
      <c r="Z562">
        <v>50</v>
      </c>
      <c r="AB562" s="6">
        <v>546</v>
      </c>
      <c r="AC562">
        <v>4</v>
      </c>
    </row>
    <row r="563" spans="1:29" x14ac:dyDescent="0.25">
      <c r="A563">
        <v>562</v>
      </c>
      <c r="B563" s="1">
        <v>45034</v>
      </c>
      <c r="C563" t="s">
        <v>590</v>
      </c>
      <c r="D563" t="s">
        <v>12</v>
      </c>
      <c r="E563">
        <v>54</v>
      </c>
      <c r="F563" t="s">
        <v>20</v>
      </c>
      <c r="G563">
        <v>2</v>
      </c>
      <c r="H563">
        <v>25</v>
      </c>
      <c r="I563">
        <v>50</v>
      </c>
      <c r="J563" t="str">
        <f t="shared" si="8"/>
        <v>46-60</v>
      </c>
      <c r="M563" s="6" t="s">
        <v>859</v>
      </c>
      <c r="N563">
        <v>100</v>
      </c>
      <c r="V563" s="6">
        <v>546</v>
      </c>
      <c r="W563">
        <v>200</v>
      </c>
      <c r="Y563" s="6">
        <v>561</v>
      </c>
      <c r="Z563">
        <v>2000</v>
      </c>
      <c r="AB563" s="6">
        <v>547</v>
      </c>
      <c r="AC563">
        <v>4</v>
      </c>
    </row>
    <row r="564" spans="1:29" x14ac:dyDescent="0.25">
      <c r="A564">
        <v>563</v>
      </c>
      <c r="B564" s="1">
        <v>45147</v>
      </c>
      <c r="C564" t="s">
        <v>591</v>
      </c>
      <c r="D564" t="s">
        <v>12</v>
      </c>
      <c r="E564">
        <v>20</v>
      </c>
      <c r="F564" t="s">
        <v>17</v>
      </c>
      <c r="G564">
        <v>2</v>
      </c>
      <c r="H564">
        <v>30</v>
      </c>
      <c r="I564">
        <v>60</v>
      </c>
      <c r="J564" t="str">
        <f t="shared" si="8"/>
        <v>18-25</v>
      </c>
      <c r="M564" s="6" t="s">
        <v>764</v>
      </c>
      <c r="N564">
        <v>100</v>
      </c>
      <c r="V564" s="6">
        <v>547</v>
      </c>
      <c r="W564">
        <v>2000</v>
      </c>
      <c r="Y564" s="6">
        <v>562</v>
      </c>
      <c r="Z564">
        <v>50</v>
      </c>
      <c r="AB564" s="6">
        <v>548</v>
      </c>
      <c r="AC564">
        <v>2</v>
      </c>
    </row>
    <row r="565" spans="1:29" x14ac:dyDescent="0.25">
      <c r="A565">
        <v>564</v>
      </c>
      <c r="B565" s="1">
        <v>45223</v>
      </c>
      <c r="C565" t="s">
        <v>592</v>
      </c>
      <c r="D565" t="s">
        <v>12</v>
      </c>
      <c r="E565">
        <v>50</v>
      </c>
      <c r="F565" t="s">
        <v>20</v>
      </c>
      <c r="G565">
        <v>2</v>
      </c>
      <c r="H565">
        <v>50</v>
      </c>
      <c r="I565">
        <v>100</v>
      </c>
      <c r="J565" t="str">
        <f t="shared" si="8"/>
        <v>46-60</v>
      </c>
      <c r="M565" s="6" t="s">
        <v>766</v>
      </c>
      <c r="N565">
        <v>100</v>
      </c>
      <c r="V565" s="6">
        <v>548</v>
      </c>
      <c r="W565">
        <v>60</v>
      </c>
      <c r="Y565" s="6">
        <v>563</v>
      </c>
      <c r="Z565">
        <v>60</v>
      </c>
      <c r="AB565" s="6">
        <v>549</v>
      </c>
      <c r="AC565">
        <v>2</v>
      </c>
    </row>
    <row r="566" spans="1:29" x14ac:dyDescent="0.25">
      <c r="A566">
        <v>565</v>
      </c>
      <c r="B566" s="1">
        <v>45237</v>
      </c>
      <c r="C566" t="s">
        <v>593</v>
      </c>
      <c r="D566" t="s">
        <v>16</v>
      </c>
      <c r="E566">
        <v>45</v>
      </c>
      <c r="F566" t="s">
        <v>13</v>
      </c>
      <c r="G566">
        <v>2</v>
      </c>
      <c r="H566">
        <v>30</v>
      </c>
      <c r="I566">
        <v>60</v>
      </c>
      <c r="J566" t="str">
        <f t="shared" si="8"/>
        <v>36-45</v>
      </c>
      <c r="M566" s="6" t="s">
        <v>814</v>
      </c>
      <c r="N566">
        <v>100</v>
      </c>
      <c r="V566" s="6">
        <v>549</v>
      </c>
      <c r="W566">
        <v>100</v>
      </c>
      <c r="Y566" s="6">
        <v>564</v>
      </c>
      <c r="Z566">
        <v>100</v>
      </c>
      <c r="AB566" s="6">
        <v>550</v>
      </c>
      <c r="AC566">
        <v>3</v>
      </c>
    </row>
    <row r="567" spans="1:29" x14ac:dyDescent="0.25">
      <c r="A567">
        <v>566</v>
      </c>
      <c r="B567" s="1">
        <v>45262</v>
      </c>
      <c r="C567" t="s">
        <v>594</v>
      </c>
      <c r="D567" t="s">
        <v>16</v>
      </c>
      <c r="E567">
        <v>64</v>
      </c>
      <c r="F567" t="s">
        <v>17</v>
      </c>
      <c r="G567">
        <v>1</v>
      </c>
      <c r="H567">
        <v>30</v>
      </c>
      <c r="I567">
        <v>30</v>
      </c>
      <c r="J567" t="b">
        <f t="shared" si="8"/>
        <v>0</v>
      </c>
      <c r="M567" s="6" t="s">
        <v>838</v>
      </c>
      <c r="N567">
        <v>100</v>
      </c>
      <c r="V567" s="6">
        <v>550</v>
      </c>
      <c r="W567">
        <v>900</v>
      </c>
      <c r="Y567" s="6">
        <v>565</v>
      </c>
      <c r="Z567">
        <v>60</v>
      </c>
      <c r="AB567" s="6">
        <v>551</v>
      </c>
      <c r="AC567">
        <v>3</v>
      </c>
    </row>
    <row r="568" spans="1:29" x14ac:dyDescent="0.25">
      <c r="A568">
        <v>567</v>
      </c>
      <c r="B568" s="1">
        <v>45091</v>
      </c>
      <c r="C568" t="s">
        <v>595</v>
      </c>
      <c r="D568" t="s">
        <v>16</v>
      </c>
      <c r="E568">
        <v>25</v>
      </c>
      <c r="F568" t="s">
        <v>17</v>
      </c>
      <c r="G568">
        <v>3</v>
      </c>
      <c r="H568">
        <v>300</v>
      </c>
      <c r="I568">
        <v>900</v>
      </c>
      <c r="J568" t="str">
        <f t="shared" si="8"/>
        <v>18-25</v>
      </c>
      <c r="M568" s="6" t="s">
        <v>979</v>
      </c>
      <c r="N568">
        <v>100</v>
      </c>
      <c r="V568" s="6">
        <v>551</v>
      </c>
      <c r="W568">
        <v>900</v>
      </c>
      <c r="Y568" s="6">
        <v>566</v>
      </c>
      <c r="Z568">
        <v>30</v>
      </c>
      <c r="AB568" s="6">
        <v>552</v>
      </c>
      <c r="AC568">
        <v>3</v>
      </c>
    </row>
    <row r="569" spans="1:29" x14ac:dyDescent="0.25">
      <c r="A569">
        <v>568</v>
      </c>
      <c r="B569" s="1">
        <v>45165</v>
      </c>
      <c r="C569" t="s">
        <v>596</v>
      </c>
      <c r="D569" t="s">
        <v>16</v>
      </c>
      <c r="E569">
        <v>51</v>
      </c>
      <c r="F569" t="s">
        <v>20</v>
      </c>
      <c r="G569">
        <v>1</v>
      </c>
      <c r="H569">
        <v>300</v>
      </c>
      <c r="I569">
        <v>300</v>
      </c>
      <c r="J569" t="str">
        <f t="shared" si="8"/>
        <v>46-60</v>
      </c>
      <c r="M569" s="6" t="s">
        <v>773</v>
      </c>
      <c r="N569">
        <v>100</v>
      </c>
      <c r="V569" s="6">
        <v>552</v>
      </c>
      <c r="W569">
        <v>75</v>
      </c>
      <c r="Y569" s="6">
        <v>567</v>
      </c>
      <c r="Z569">
        <v>900</v>
      </c>
      <c r="AB569" s="6">
        <v>553</v>
      </c>
      <c r="AC569">
        <v>4</v>
      </c>
    </row>
    <row r="570" spans="1:29" x14ac:dyDescent="0.25">
      <c r="A570">
        <v>569</v>
      </c>
      <c r="B570" s="1">
        <v>45153</v>
      </c>
      <c r="C570" t="s">
        <v>597</v>
      </c>
      <c r="D570" t="s">
        <v>12</v>
      </c>
      <c r="E570">
        <v>52</v>
      </c>
      <c r="F570" t="s">
        <v>20</v>
      </c>
      <c r="G570">
        <v>4</v>
      </c>
      <c r="H570">
        <v>50</v>
      </c>
      <c r="I570">
        <v>200</v>
      </c>
      <c r="J570" t="str">
        <f t="shared" si="8"/>
        <v>46-60</v>
      </c>
      <c r="M570" s="6" t="s">
        <v>786</v>
      </c>
      <c r="N570">
        <v>100</v>
      </c>
      <c r="V570" s="6">
        <v>553</v>
      </c>
      <c r="W570">
        <v>1200</v>
      </c>
      <c r="Y570" s="6">
        <v>568</v>
      </c>
      <c r="Z570">
        <v>300</v>
      </c>
      <c r="AB570" s="6">
        <v>554</v>
      </c>
      <c r="AC570">
        <v>3</v>
      </c>
    </row>
    <row r="571" spans="1:29" x14ac:dyDescent="0.25">
      <c r="A571">
        <v>570</v>
      </c>
      <c r="B571" s="1">
        <v>45153</v>
      </c>
      <c r="C571" t="s">
        <v>598</v>
      </c>
      <c r="D571" t="s">
        <v>12</v>
      </c>
      <c r="E571">
        <v>49</v>
      </c>
      <c r="F571" t="s">
        <v>17</v>
      </c>
      <c r="G571">
        <v>1</v>
      </c>
      <c r="H571">
        <v>500</v>
      </c>
      <c r="I571">
        <v>500</v>
      </c>
      <c r="J571" t="str">
        <f t="shared" si="8"/>
        <v>46-60</v>
      </c>
      <c r="M571" s="6" t="s">
        <v>869</v>
      </c>
      <c r="N571">
        <v>100</v>
      </c>
      <c r="V571" s="6">
        <v>554</v>
      </c>
      <c r="W571">
        <v>150</v>
      </c>
      <c r="Y571" s="6">
        <v>569</v>
      </c>
      <c r="Z571">
        <v>200</v>
      </c>
      <c r="AB571" s="6">
        <v>555</v>
      </c>
      <c r="AC571">
        <v>1</v>
      </c>
    </row>
    <row r="572" spans="1:29" x14ac:dyDescent="0.25">
      <c r="A572">
        <v>571</v>
      </c>
      <c r="B572" s="1">
        <v>45272</v>
      </c>
      <c r="C572" t="s">
        <v>599</v>
      </c>
      <c r="D572" t="s">
        <v>16</v>
      </c>
      <c r="E572">
        <v>41</v>
      </c>
      <c r="F572" t="s">
        <v>20</v>
      </c>
      <c r="G572">
        <v>1</v>
      </c>
      <c r="H572">
        <v>50</v>
      </c>
      <c r="I572">
        <v>50</v>
      </c>
      <c r="J572" t="str">
        <f t="shared" si="8"/>
        <v>36-45</v>
      </c>
      <c r="M572" s="6" t="s">
        <v>787</v>
      </c>
      <c r="N572">
        <v>100</v>
      </c>
      <c r="V572" s="6">
        <v>555</v>
      </c>
      <c r="W572">
        <v>300</v>
      </c>
      <c r="Y572" s="6">
        <v>570</v>
      </c>
      <c r="Z572">
        <v>500</v>
      </c>
      <c r="AB572" s="6">
        <v>556</v>
      </c>
      <c r="AC572">
        <v>1</v>
      </c>
    </row>
    <row r="573" spans="1:29" x14ac:dyDescent="0.25">
      <c r="A573">
        <v>572</v>
      </c>
      <c r="B573" s="1">
        <v>45036</v>
      </c>
      <c r="C573" t="s">
        <v>600</v>
      </c>
      <c r="D573" t="s">
        <v>12</v>
      </c>
      <c r="E573">
        <v>31</v>
      </c>
      <c r="F573" t="s">
        <v>17</v>
      </c>
      <c r="G573">
        <v>4</v>
      </c>
      <c r="H573">
        <v>500</v>
      </c>
      <c r="I573">
        <v>2000</v>
      </c>
      <c r="J573" t="str">
        <f t="shared" si="8"/>
        <v>26-35</v>
      </c>
      <c r="M573" s="6" t="s">
        <v>734</v>
      </c>
      <c r="N573">
        <v>100</v>
      </c>
      <c r="V573" s="6">
        <v>556</v>
      </c>
      <c r="W573">
        <v>50</v>
      </c>
      <c r="Y573" s="6">
        <v>571</v>
      </c>
      <c r="Z573">
        <v>50</v>
      </c>
      <c r="AB573" s="6">
        <v>557</v>
      </c>
      <c r="AC573">
        <v>3</v>
      </c>
    </row>
    <row r="574" spans="1:29" x14ac:dyDescent="0.25">
      <c r="A574">
        <v>573</v>
      </c>
      <c r="B574" s="1">
        <v>45188</v>
      </c>
      <c r="C574" t="s">
        <v>601</v>
      </c>
      <c r="D574" t="s">
        <v>12</v>
      </c>
      <c r="E574">
        <v>49</v>
      </c>
      <c r="F574" t="s">
        <v>13</v>
      </c>
      <c r="G574">
        <v>2</v>
      </c>
      <c r="H574">
        <v>30</v>
      </c>
      <c r="I574">
        <v>60</v>
      </c>
      <c r="J574" t="str">
        <f t="shared" si="8"/>
        <v>46-60</v>
      </c>
      <c r="M574" s="6" t="s">
        <v>1000</v>
      </c>
      <c r="N574">
        <v>100</v>
      </c>
      <c r="V574" s="6">
        <v>557</v>
      </c>
      <c r="W574">
        <v>90</v>
      </c>
      <c r="Y574" s="6">
        <v>572</v>
      </c>
      <c r="Z574">
        <v>2000</v>
      </c>
      <c r="AB574" s="6">
        <v>558</v>
      </c>
      <c r="AC574">
        <v>1</v>
      </c>
    </row>
    <row r="575" spans="1:29" x14ac:dyDescent="0.25">
      <c r="A575">
        <v>574</v>
      </c>
      <c r="B575" s="1">
        <v>45169</v>
      </c>
      <c r="C575" t="s">
        <v>602</v>
      </c>
      <c r="D575" t="s">
        <v>16</v>
      </c>
      <c r="E575">
        <v>63</v>
      </c>
      <c r="F575" t="s">
        <v>20</v>
      </c>
      <c r="G575">
        <v>2</v>
      </c>
      <c r="H575">
        <v>25</v>
      </c>
      <c r="I575">
        <v>50</v>
      </c>
      <c r="J575" t="b">
        <f t="shared" si="8"/>
        <v>0</v>
      </c>
      <c r="M575" s="6" t="s">
        <v>803</v>
      </c>
      <c r="N575">
        <v>100</v>
      </c>
      <c r="V575" s="6">
        <v>558</v>
      </c>
      <c r="W575">
        <v>25</v>
      </c>
      <c r="Y575" s="6">
        <v>573</v>
      </c>
      <c r="Z575">
        <v>60</v>
      </c>
      <c r="AB575" s="6">
        <v>559</v>
      </c>
      <c r="AC575">
        <v>4</v>
      </c>
    </row>
    <row r="576" spans="1:29" x14ac:dyDescent="0.25">
      <c r="A576">
        <v>575</v>
      </c>
      <c r="B576" s="1">
        <v>45013</v>
      </c>
      <c r="C576" t="s">
        <v>603</v>
      </c>
      <c r="D576" t="s">
        <v>12</v>
      </c>
      <c r="E576">
        <v>60</v>
      </c>
      <c r="F576" t="s">
        <v>17</v>
      </c>
      <c r="G576">
        <v>2</v>
      </c>
      <c r="H576">
        <v>50</v>
      </c>
      <c r="I576">
        <v>100</v>
      </c>
      <c r="J576" t="str">
        <f t="shared" si="8"/>
        <v>46-60</v>
      </c>
      <c r="M576" s="6" t="s">
        <v>700</v>
      </c>
      <c r="N576">
        <v>100</v>
      </c>
      <c r="V576" s="6">
        <v>559</v>
      </c>
      <c r="W576">
        <v>1200</v>
      </c>
      <c r="Y576" s="6">
        <v>574</v>
      </c>
      <c r="Z576">
        <v>50</v>
      </c>
      <c r="AB576" s="6">
        <v>560</v>
      </c>
      <c r="AC576">
        <v>1</v>
      </c>
    </row>
    <row r="577" spans="1:29" x14ac:dyDescent="0.25">
      <c r="A577">
        <v>576</v>
      </c>
      <c r="B577" s="1">
        <v>45264</v>
      </c>
      <c r="C577" t="s">
        <v>604</v>
      </c>
      <c r="D577" t="s">
        <v>16</v>
      </c>
      <c r="E577">
        <v>33</v>
      </c>
      <c r="F577" t="s">
        <v>13</v>
      </c>
      <c r="G577">
        <v>3</v>
      </c>
      <c r="H577">
        <v>50</v>
      </c>
      <c r="I577">
        <v>150</v>
      </c>
      <c r="J577" t="str">
        <f t="shared" si="8"/>
        <v>26-35</v>
      </c>
      <c r="M577" s="6" t="s">
        <v>851</v>
      </c>
      <c r="N577">
        <v>100</v>
      </c>
      <c r="V577" s="6">
        <v>560</v>
      </c>
      <c r="W577">
        <v>50</v>
      </c>
      <c r="Y577" s="6">
        <v>575</v>
      </c>
      <c r="Z577">
        <v>100</v>
      </c>
      <c r="AB577" s="6">
        <v>561</v>
      </c>
      <c r="AC577">
        <v>4</v>
      </c>
    </row>
    <row r="578" spans="1:29" x14ac:dyDescent="0.25">
      <c r="A578">
        <v>577</v>
      </c>
      <c r="B578" s="1">
        <v>44970</v>
      </c>
      <c r="C578" t="s">
        <v>605</v>
      </c>
      <c r="D578" t="s">
        <v>12</v>
      </c>
      <c r="E578">
        <v>21</v>
      </c>
      <c r="F578" t="s">
        <v>13</v>
      </c>
      <c r="G578">
        <v>4</v>
      </c>
      <c r="H578">
        <v>500</v>
      </c>
      <c r="I578">
        <v>2000</v>
      </c>
      <c r="J578" t="str">
        <f t="shared" si="8"/>
        <v>18-25</v>
      </c>
      <c r="M578" s="6" t="s">
        <v>716</v>
      </c>
      <c r="N578">
        <v>100</v>
      </c>
      <c r="V578" s="6">
        <v>561</v>
      </c>
      <c r="W578">
        <v>2000</v>
      </c>
      <c r="Y578" s="6">
        <v>576</v>
      </c>
      <c r="Z578">
        <v>150</v>
      </c>
      <c r="AB578" s="6">
        <v>562</v>
      </c>
      <c r="AC578">
        <v>2</v>
      </c>
    </row>
    <row r="579" spans="1:29" x14ac:dyDescent="0.25">
      <c r="A579">
        <v>578</v>
      </c>
      <c r="B579" s="1">
        <v>45072</v>
      </c>
      <c r="C579" t="s">
        <v>606</v>
      </c>
      <c r="D579" t="s">
        <v>16</v>
      </c>
      <c r="E579">
        <v>54</v>
      </c>
      <c r="F579" t="s">
        <v>17</v>
      </c>
      <c r="G579">
        <v>4</v>
      </c>
      <c r="H579">
        <v>30</v>
      </c>
      <c r="I579">
        <v>120</v>
      </c>
      <c r="J579" t="str">
        <f t="shared" ref="J579:J642" si="9">IF(AND(E579&gt;=18,E579&lt;=25),"18-25",IF(AND(E579&gt;=26,E579&lt;=35),"26-35",IF(AND(E579&gt;=36,E579&lt;=45),"36-45",IF(AND(E579&gt;=46,E579&lt;=60),"46-60"))))</f>
        <v>46-60</v>
      </c>
      <c r="M579" s="6" t="s">
        <v>952</v>
      </c>
      <c r="N579">
        <v>100</v>
      </c>
      <c r="V579" s="6">
        <v>562</v>
      </c>
      <c r="W579">
        <v>50</v>
      </c>
      <c r="Y579" s="6">
        <v>577</v>
      </c>
      <c r="Z579">
        <v>2000</v>
      </c>
      <c r="AB579" s="6">
        <v>563</v>
      </c>
      <c r="AC579">
        <v>2</v>
      </c>
    </row>
    <row r="580" spans="1:29" x14ac:dyDescent="0.25">
      <c r="A580">
        <v>579</v>
      </c>
      <c r="B580" s="1">
        <v>45190</v>
      </c>
      <c r="C580" t="s">
        <v>607</v>
      </c>
      <c r="D580" t="s">
        <v>16</v>
      </c>
      <c r="E580">
        <v>38</v>
      </c>
      <c r="F580" t="s">
        <v>20</v>
      </c>
      <c r="G580">
        <v>1</v>
      </c>
      <c r="H580">
        <v>30</v>
      </c>
      <c r="I580">
        <v>30</v>
      </c>
      <c r="J580" t="str">
        <f t="shared" si="9"/>
        <v>36-45</v>
      </c>
      <c r="M580" s="6" t="s">
        <v>806</v>
      </c>
      <c r="N580">
        <v>100</v>
      </c>
      <c r="V580" s="6">
        <v>563</v>
      </c>
      <c r="W580">
        <v>60</v>
      </c>
      <c r="Y580" s="6">
        <v>578</v>
      </c>
      <c r="Z580">
        <v>120</v>
      </c>
      <c r="AB580" s="6">
        <v>564</v>
      </c>
      <c r="AC580">
        <v>2</v>
      </c>
    </row>
    <row r="581" spans="1:29" x14ac:dyDescent="0.25">
      <c r="A581">
        <v>580</v>
      </c>
      <c r="B581" s="1">
        <v>45266</v>
      </c>
      <c r="C581" t="s">
        <v>608</v>
      </c>
      <c r="D581" t="s">
        <v>16</v>
      </c>
      <c r="E581">
        <v>31</v>
      </c>
      <c r="F581" t="s">
        <v>17</v>
      </c>
      <c r="G581">
        <v>3</v>
      </c>
      <c r="H581">
        <v>500</v>
      </c>
      <c r="I581">
        <v>1500</v>
      </c>
      <c r="J581" t="str">
        <f t="shared" si="9"/>
        <v>26-35</v>
      </c>
      <c r="M581" s="6" t="s">
        <v>925</v>
      </c>
      <c r="N581">
        <v>100</v>
      </c>
      <c r="V581" s="6">
        <v>564</v>
      </c>
      <c r="W581">
        <v>100</v>
      </c>
      <c r="Y581" s="6">
        <v>579</v>
      </c>
      <c r="Z581">
        <v>30</v>
      </c>
      <c r="AB581" s="6">
        <v>565</v>
      </c>
      <c r="AC581">
        <v>2</v>
      </c>
    </row>
    <row r="582" spans="1:29" x14ac:dyDescent="0.25">
      <c r="A582">
        <v>581</v>
      </c>
      <c r="B582" s="1">
        <v>45251</v>
      </c>
      <c r="C582" t="s">
        <v>609</v>
      </c>
      <c r="D582" t="s">
        <v>16</v>
      </c>
      <c r="E582">
        <v>48</v>
      </c>
      <c r="F582" t="s">
        <v>13</v>
      </c>
      <c r="G582">
        <v>2</v>
      </c>
      <c r="H582">
        <v>30</v>
      </c>
      <c r="I582">
        <v>60</v>
      </c>
      <c r="J582" t="str">
        <f t="shared" si="9"/>
        <v>46-60</v>
      </c>
      <c r="M582" s="6" t="s">
        <v>545</v>
      </c>
      <c r="N582">
        <v>100</v>
      </c>
      <c r="V582" s="6">
        <v>565</v>
      </c>
      <c r="W582">
        <v>60</v>
      </c>
      <c r="Y582" s="6">
        <v>580</v>
      </c>
      <c r="Z582">
        <v>1500</v>
      </c>
      <c r="AB582" s="6">
        <v>566</v>
      </c>
      <c r="AC582">
        <v>1</v>
      </c>
    </row>
    <row r="583" spans="1:29" x14ac:dyDescent="0.25">
      <c r="A583">
        <v>582</v>
      </c>
      <c r="B583" s="1">
        <v>45244</v>
      </c>
      <c r="C583" t="s">
        <v>610</v>
      </c>
      <c r="D583" t="s">
        <v>12</v>
      </c>
      <c r="E583">
        <v>35</v>
      </c>
      <c r="F583" t="s">
        <v>17</v>
      </c>
      <c r="G583">
        <v>3</v>
      </c>
      <c r="H583">
        <v>300</v>
      </c>
      <c r="I583">
        <v>900</v>
      </c>
      <c r="J583" t="str">
        <f t="shared" si="9"/>
        <v>26-35</v>
      </c>
      <c r="M583" s="6" t="s">
        <v>603</v>
      </c>
      <c r="N583">
        <v>100</v>
      </c>
      <c r="V583" s="6">
        <v>566</v>
      </c>
      <c r="W583">
        <v>30</v>
      </c>
      <c r="Y583" s="6">
        <v>581</v>
      </c>
      <c r="Z583">
        <v>60</v>
      </c>
      <c r="AB583" s="6">
        <v>567</v>
      </c>
      <c r="AC583">
        <v>3</v>
      </c>
    </row>
    <row r="584" spans="1:29" x14ac:dyDescent="0.25">
      <c r="A584">
        <v>583</v>
      </c>
      <c r="B584" s="1">
        <v>45098</v>
      </c>
      <c r="C584" t="s">
        <v>611</v>
      </c>
      <c r="D584" t="s">
        <v>16</v>
      </c>
      <c r="E584">
        <v>24</v>
      </c>
      <c r="F584" t="s">
        <v>20</v>
      </c>
      <c r="G584">
        <v>4</v>
      </c>
      <c r="H584">
        <v>25</v>
      </c>
      <c r="I584">
        <v>100</v>
      </c>
      <c r="J584" t="str">
        <f t="shared" si="9"/>
        <v>18-25</v>
      </c>
      <c r="M584" s="6" t="s">
        <v>627</v>
      </c>
      <c r="N584">
        <v>100</v>
      </c>
      <c r="V584" s="6">
        <v>567</v>
      </c>
      <c r="W584">
        <v>900</v>
      </c>
      <c r="Y584" s="6">
        <v>582</v>
      </c>
      <c r="Z584">
        <v>900</v>
      </c>
      <c r="AB584" s="6">
        <v>568</v>
      </c>
      <c r="AC584">
        <v>1</v>
      </c>
    </row>
    <row r="585" spans="1:29" x14ac:dyDescent="0.25">
      <c r="A585">
        <v>584</v>
      </c>
      <c r="B585" s="1">
        <v>44974</v>
      </c>
      <c r="C585" t="s">
        <v>612</v>
      </c>
      <c r="D585" t="s">
        <v>16</v>
      </c>
      <c r="E585">
        <v>27</v>
      </c>
      <c r="F585" t="s">
        <v>13</v>
      </c>
      <c r="G585">
        <v>4</v>
      </c>
      <c r="H585">
        <v>50</v>
      </c>
      <c r="I585">
        <v>200</v>
      </c>
      <c r="J585" t="str">
        <f t="shared" si="9"/>
        <v>26-35</v>
      </c>
      <c r="M585" s="6" t="s">
        <v>619</v>
      </c>
      <c r="N585">
        <v>100</v>
      </c>
      <c r="V585" s="6">
        <v>568</v>
      </c>
      <c r="W585">
        <v>300</v>
      </c>
      <c r="Y585" s="6">
        <v>583</v>
      </c>
      <c r="Z585">
        <v>100</v>
      </c>
      <c r="AB585" s="6">
        <v>569</v>
      </c>
      <c r="AC585">
        <v>4</v>
      </c>
    </row>
    <row r="586" spans="1:29" x14ac:dyDescent="0.25">
      <c r="A586">
        <v>585</v>
      </c>
      <c r="B586" s="1">
        <v>45047</v>
      </c>
      <c r="C586" t="s">
        <v>613</v>
      </c>
      <c r="D586" t="s">
        <v>16</v>
      </c>
      <c r="E586">
        <v>24</v>
      </c>
      <c r="F586" t="s">
        <v>17</v>
      </c>
      <c r="G586">
        <v>1</v>
      </c>
      <c r="H586">
        <v>25</v>
      </c>
      <c r="I586">
        <v>25</v>
      </c>
      <c r="J586" t="str">
        <f t="shared" si="9"/>
        <v>18-25</v>
      </c>
      <c r="M586" s="6" t="s">
        <v>680</v>
      </c>
      <c r="N586">
        <v>100</v>
      </c>
      <c r="V586" s="6">
        <v>569</v>
      </c>
      <c r="W586">
        <v>200</v>
      </c>
      <c r="Y586" s="6">
        <v>584</v>
      </c>
      <c r="Z586">
        <v>200</v>
      </c>
      <c r="AB586" s="6">
        <v>570</v>
      </c>
      <c r="AC586">
        <v>1</v>
      </c>
    </row>
    <row r="587" spans="1:29" x14ac:dyDescent="0.25">
      <c r="A587">
        <v>586</v>
      </c>
      <c r="B587" s="1">
        <v>45271</v>
      </c>
      <c r="C587" t="s">
        <v>614</v>
      </c>
      <c r="D587" t="s">
        <v>12</v>
      </c>
      <c r="E587">
        <v>50</v>
      </c>
      <c r="F587" t="s">
        <v>20</v>
      </c>
      <c r="G587">
        <v>1</v>
      </c>
      <c r="H587">
        <v>50</v>
      </c>
      <c r="I587">
        <v>50</v>
      </c>
      <c r="J587" t="str">
        <f t="shared" si="9"/>
        <v>46-60</v>
      </c>
      <c r="M587" s="6" t="s">
        <v>644</v>
      </c>
      <c r="N587">
        <v>100</v>
      </c>
      <c r="V587" s="6">
        <v>570</v>
      </c>
      <c r="W587">
        <v>500</v>
      </c>
      <c r="Y587" s="6">
        <v>585</v>
      </c>
      <c r="Z587">
        <v>25</v>
      </c>
      <c r="AB587" s="6">
        <v>571</v>
      </c>
      <c r="AC587">
        <v>1</v>
      </c>
    </row>
    <row r="588" spans="1:29" x14ac:dyDescent="0.25">
      <c r="A588">
        <v>587</v>
      </c>
      <c r="B588" s="1">
        <v>45085</v>
      </c>
      <c r="C588" t="s">
        <v>615</v>
      </c>
      <c r="D588" t="s">
        <v>16</v>
      </c>
      <c r="E588">
        <v>40</v>
      </c>
      <c r="F588" t="s">
        <v>13</v>
      </c>
      <c r="G588">
        <v>4</v>
      </c>
      <c r="H588">
        <v>300</v>
      </c>
      <c r="I588">
        <v>1200</v>
      </c>
      <c r="J588" t="str">
        <f t="shared" si="9"/>
        <v>36-45</v>
      </c>
      <c r="M588" s="6" t="s">
        <v>434</v>
      </c>
      <c r="N588">
        <v>100</v>
      </c>
      <c r="V588" s="6">
        <v>571</v>
      </c>
      <c r="W588">
        <v>50</v>
      </c>
      <c r="Y588" s="6">
        <v>586</v>
      </c>
      <c r="Z588">
        <v>50</v>
      </c>
      <c r="AB588" s="6">
        <v>572</v>
      </c>
      <c r="AC588">
        <v>4</v>
      </c>
    </row>
    <row r="589" spans="1:29" x14ac:dyDescent="0.25">
      <c r="A589">
        <v>588</v>
      </c>
      <c r="B589" s="1">
        <v>45042</v>
      </c>
      <c r="C589" t="s">
        <v>616</v>
      </c>
      <c r="D589" t="s">
        <v>12</v>
      </c>
      <c r="E589">
        <v>38</v>
      </c>
      <c r="F589" t="s">
        <v>20</v>
      </c>
      <c r="G589">
        <v>2</v>
      </c>
      <c r="H589">
        <v>30</v>
      </c>
      <c r="I589">
        <v>60</v>
      </c>
      <c r="J589" t="str">
        <f t="shared" si="9"/>
        <v>36-45</v>
      </c>
      <c r="M589" s="6" t="s">
        <v>647</v>
      </c>
      <c r="N589">
        <v>100</v>
      </c>
      <c r="V589" s="6">
        <v>572</v>
      </c>
      <c r="W589">
        <v>2000</v>
      </c>
      <c r="Y589" s="6">
        <v>587</v>
      </c>
      <c r="Z589">
        <v>1200</v>
      </c>
      <c r="AB589" s="6">
        <v>573</v>
      </c>
      <c r="AC589">
        <v>2</v>
      </c>
    </row>
    <row r="590" spans="1:29" x14ac:dyDescent="0.25">
      <c r="A590">
        <v>589</v>
      </c>
      <c r="B590" s="1">
        <v>45028</v>
      </c>
      <c r="C590" t="s">
        <v>617</v>
      </c>
      <c r="D590" t="s">
        <v>16</v>
      </c>
      <c r="E590">
        <v>36</v>
      </c>
      <c r="F590" t="s">
        <v>13</v>
      </c>
      <c r="G590">
        <v>2</v>
      </c>
      <c r="H590">
        <v>500</v>
      </c>
      <c r="I590">
        <v>1000</v>
      </c>
      <c r="J590" t="str">
        <f t="shared" si="9"/>
        <v>36-45</v>
      </c>
      <c r="M590" s="6" t="s">
        <v>670</v>
      </c>
      <c r="N590">
        <v>100</v>
      </c>
      <c r="V590" s="6">
        <v>573</v>
      </c>
      <c r="W590">
        <v>60</v>
      </c>
      <c r="Y590" s="6">
        <v>588</v>
      </c>
      <c r="Z590">
        <v>60</v>
      </c>
      <c r="AB590" s="6">
        <v>574</v>
      </c>
      <c r="AC590">
        <v>2</v>
      </c>
    </row>
    <row r="591" spans="1:29" x14ac:dyDescent="0.25">
      <c r="A591">
        <v>590</v>
      </c>
      <c r="B591" s="1">
        <v>45002</v>
      </c>
      <c r="C591" t="s">
        <v>618</v>
      </c>
      <c r="D591" t="s">
        <v>12</v>
      </c>
      <c r="E591">
        <v>36</v>
      </c>
      <c r="F591" t="s">
        <v>17</v>
      </c>
      <c r="G591">
        <v>3</v>
      </c>
      <c r="H591">
        <v>300</v>
      </c>
      <c r="I591">
        <v>900</v>
      </c>
      <c r="J591" t="str">
        <f t="shared" si="9"/>
        <v>36-45</v>
      </c>
      <c r="M591" s="6" t="s">
        <v>548</v>
      </c>
      <c r="N591">
        <v>100</v>
      </c>
      <c r="V591" s="6">
        <v>574</v>
      </c>
      <c r="W591">
        <v>50</v>
      </c>
      <c r="Y591" s="6">
        <v>589</v>
      </c>
      <c r="Z591">
        <v>1000</v>
      </c>
      <c r="AB591" s="6">
        <v>575</v>
      </c>
      <c r="AC591">
        <v>2</v>
      </c>
    </row>
    <row r="592" spans="1:29" x14ac:dyDescent="0.25">
      <c r="A592">
        <v>591</v>
      </c>
      <c r="B592" s="1">
        <v>44939</v>
      </c>
      <c r="C592" t="s">
        <v>619</v>
      </c>
      <c r="D592" t="s">
        <v>12</v>
      </c>
      <c r="E592">
        <v>53</v>
      </c>
      <c r="F592" t="s">
        <v>20</v>
      </c>
      <c r="G592">
        <v>4</v>
      </c>
      <c r="H592">
        <v>25</v>
      </c>
      <c r="I592">
        <v>100</v>
      </c>
      <c r="J592" t="str">
        <f t="shared" si="9"/>
        <v>46-60</v>
      </c>
      <c r="M592" s="6" t="s">
        <v>438</v>
      </c>
      <c r="N592">
        <v>100</v>
      </c>
      <c r="V592" s="6">
        <v>575</v>
      </c>
      <c r="W592">
        <v>100</v>
      </c>
      <c r="Y592" s="6">
        <v>590</v>
      </c>
      <c r="Z592">
        <v>900</v>
      </c>
      <c r="AB592" s="6">
        <v>576</v>
      </c>
      <c r="AC592">
        <v>3</v>
      </c>
    </row>
    <row r="593" spans="1:29" x14ac:dyDescent="0.25">
      <c r="A593">
        <v>592</v>
      </c>
      <c r="B593" s="1">
        <v>44950</v>
      </c>
      <c r="C593" t="s">
        <v>620</v>
      </c>
      <c r="D593" t="s">
        <v>16</v>
      </c>
      <c r="E593">
        <v>46</v>
      </c>
      <c r="F593" t="s">
        <v>13</v>
      </c>
      <c r="G593">
        <v>4</v>
      </c>
      <c r="H593">
        <v>500</v>
      </c>
      <c r="I593">
        <v>2000</v>
      </c>
      <c r="J593" t="str">
        <f t="shared" si="9"/>
        <v>46-60</v>
      </c>
      <c r="M593" s="6" t="s">
        <v>526</v>
      </c>
      <c r="N593">
        <v>100</v>
      </c>
      <c r="V593" s="6">
        <v>576</v>
      </c>
      <c r="W593">
        <v>150</v>
      </c>
      <c r="Y593" s="6">
        <v>591</v>
      </c>
      <c r="Z593">
        <v>100</v>
      </c>
      <c r="AB593" s="6">
        <v>577</v>
      </c>
      <c r="AC593">
        <v>4</v>
      </c>
    </row>
    <row r="594" spans="1:29" x14ac:dyDescent="0.25">
      <c r="A594">
        <v>593</v>
      </c>
      <c r="B594" s="1">
        <v>45052</v>
      </c>
      <c r="C594" t="s">
        <v>621</v>
      </c>
      <c r="D594" t="s">
        <v>12</v>
      </c>
      <c r="E594">
        <v>35</v>
      </c>
      <c r="F594" t="s">
        <v>20</v>
      </c>
      <c r="G594">
        <v>2</v>
      </c>
      <c r="H594">
        <v>30</v>
      </c>
      <c r="I594">
        <v>60</v>
      </c>
      <c r="J594" t="str">
        <f t="shared" si="9"/>
        <v>26-35</v>
      </c>
      <c r="M594" s="6" t="s">
        <v>544</v>
      </c>
      <c r="N594">
        <v>100</v>
      </c>
      <c r="V594" s="6">
        <v>577</v>
      </c>
      <c r="W594">
        <v>2000</v>
      </c>
      <c r="Y594" s="6">
        <v>592</v>
      </c>
      <c r="Z594">
        <v>2000</v>
      </c>
      <c r="AB594" s="6">
        <v>578</v>
      </c>
      <c r="AC594">
        <v>4</v>
      </c>
    </row>
    <row r="595" spans="1:29" x14ac:dyDescent="0.25">
      <c r="A595">
        <v>594</v>
      </c>
      <c r="B595" s="1">
        <v>45170</v>
      </c>
      <c r="C595" t="s">
        <v>622</v>
      </c>
      <c r="D595" t="s">
        <v>16</v>
      </c>
      <c r="E595">
        <v>19</v>
      </c>
      <c r="F595" t="s">
        <v>20</v>
      </c>
      <c r="G595">
        <v>2</v>
      </c>
      <c r="H595">
        <v>300</v>
      </c>
      <c r="I595">
        <v>600</v>
      </c>
      <c r="J595" t="str">
        <f t="shared" si="9"/>
        <v>18-25</v>
      </c>
      <c r="M595" s="6" t="s">
        <v>611</v>
      </c>
      <c r="N595">
        <v>100</v>
      </c>
      <c r="V595" s="6">
        <v>578</v>
      </c>
      <c r="W595">
        <v>120</v>
      </c>
      <c r="Y595" s="6">
        <v>593</v>
      </c>
      <c r="Z595">
        <v>60</v>
      </c>
      <c r="AB595" s="6">
        <v>579</v>
      </c>
      <c r="AC595">
        <v>1</v>
      </c>
    </row>
    <row r="596" spans="1:29" x14ac:dyDescent="0.25">
      <c r="A596">
        <v>595</v>
      </c>
      <c r="B596" s="1">
        <v>45239</v>
      </c>
      <c r="C596" t="s">
        <v>623</v>
      </c>
      <c r="D596" t="s">
        <v>16</v>
      </c>
      <c r="E596">
        <v>18</v>
      </c>
      <c r="F596" t="s">
        <v>17</v>
      </c>
      <c r="G596">
        <v>4</v>
      </c>
      <c r="H596">
        <v>500</v>
      </c>
      <c r="I596">
        <v>2000</v>
      </c>
      <c r="J596" t="str">
        <f t="shared" si="9"/>
        <v>18-25</v>
      </c>
      <c r="M596" s="6" t="s">
        <v>418</v>
      </c>
      <c r="N596">
        <v>100</v>
      </c>
      <c r="V596" s="6">
        <v>579</v>
      </c>
      <c r="W596">
        <v>30</v>
      </c>
      <c r="Y596" s="6">
        <v>594</v>
      </c>
      <c r="Z596">
        <v>600</v>
      </c>
      <c r="AB596" s="6">
        <v>580</v>
      </c>
      <c r="AC596">
        <v>3</v>
      </c>
    </row>
    <row r="597" spans="1:29" x14ac:dyDescent="0.25">
      <c r="A597">
        <v>596</v>
      </c>
      <c r="B597" s="1">
        <v>44964</v>
      </c>
      <c r="C597" t="s">
        <v>624</v>
      </c>
      <c r="D597" t="s">
        <v>16</v>
      </c>
      <c r="E597">
        <v>64</v>
      </c>
      <c r="F597" t="s">
        <v>20</v>
      </c>
      <c r="G597">
        <v>1</v>
      </c>
      <c r="H597">
        <v>300</v>
      </c>
      <c r="I597">
        <v>300</v>
      </c>
      <c r="J597" t="b">
        <f t="shared" si="9"/>
        <v>0</v>
      </c>
      <c r="M597" s="6" t="s">
        <v>592</v>
      </c>
      <c r="N597">
        <v>100</v>
      </c>
      <c r="V597" s="6">
        <v>580</v>
      </c>
      <c r="W597">
        <v>1500</v>
      </c>
      <c r="Y597" s="6">
        <v>595</v>
      </c>
      <c r="Z597">
        <v>2000</v>
      </c>
      <c r="AB597" s="6">
        <v>581</v>
      </c>
      <c r="AC597">
        <v>2</v>
      </c>
    </row>
    <row r="598" spans="1:29" x14ac:dyDescent="0.25">
      <c r="A598">
        <v>597</v>
      </c>
      <c r="B598" s="1">
        <v>45160</v>
      </c>
      <c r="C598" t="s">
        <v>625</v>
      </c>
      <c r="D598" t="s">
        <v>12</v>
      </c>
      <c r="E598">
        <v>22</v>
      </c>
      <c r="F598" t="s">
        <v>13</v>
      </c>
      <c r="G598">
        <v>4</v>
      </c>
      <c r="H598">
        <v>300</v>
      </c>
      <c r="I598">
        <v>1200</v>
      </c>
      <c r="J598" t="str">
        <f t="shared" si="9"/>
        <v>18-25</v>
      </c>
      <c r="M598" s="6" t="s">
        <v>520</v>
      </c>
      <c r="N598">
        <v>100</v>
      </c>
      <c r="V598" s="6">
        <v>581</v>
      </c>
      <c r="W598">
        <v>60</v>
      </c>
      <c r="Y598" s="6">
        <v>596</v>
      </c>
      <c r="Z598">
        <v>300</v>
      </c>
      <c r="AB598" s="6">
        <v>582</v>
      </c>
      <c r="AC598">
        <v>3</v>
      </c>
    </row>
    <row r="599" spans="1:29" x14ac:dyDescent="0.25">
      <c r="A599">
        <v>598</v>
      </c>
      <c r="B599" s="1">
        <v>45139</v>
      </c>
      <c r="C599" t="s">
        <v>626</v>
      </c>
      <c r="D599" t="s">
        <v>12</v>
      </c>
      <c r="E599">
        <v>37</v>
      </c>
      <c r="F599" t="s">
        <v>13</v>
      </c>
      <c r="G599">
        <v>4</v>
      </c>
      <c r="H599">
        <v>30</v>
      </c>
      <c r="I599">
        <v>120</v>
      </c>
      <c r="J599" t="str">
        <f t="shared" si="9"/>
        <v>36-45</v>
      </c>
      <c r="M599" s="6" t="s">
        <v>486</v>
      </c>
      <c r="N599">
        <v>100</v>
      </c>
      <c r="V599" s="6">
        <v>582</v>
      </c>
      <c r="W599">
        <v>900</v>
      </c>
      <c r="Y599" s="6">
        <v>597</v>
      </c>
      <c r="Z599">
        <v>1200</v>
      </c>
      <c r="AB599" s="6">
        <v>583</v>
      </c>
      <c r="AC599">
        <v>4</v>
      </c>
    </row>
    <row r="600" spans="1:29" x14ac:dyDescent="0.25">
      <c r="A600">
        <v>599</v>
      </c>
      <c r="B600" s="1">
        <v>45249</v>
      </c>
      <c r="C600" t="s">
        <v>627</v>
      </c>
      <c r="D600" t="s">
        <v>16</v>
      </c>
      <c r="E600">
        <v>28</v>
      </c>
      <c r="F600" t="s">
        <v>13</v>
      </c>
      <c r="G600">
        <v>2</v>
      </c>
      <c r="H600">
        <v>50</v>
      </c>
      <c r="I600">
        <v>100</v>
      </c>
      <c r="J600" t="str">
        <f t="shared" si="9"/>
        <v>26-35</v>
      </c>
      <c r="M600" s="6" t="s">
        <v>409</v>
      </c>
      <c r="N600">
        <v>100</v>
      </c>
      <c r="V600" s="6">
        <v>583</v>
      </c>
      <c r="W600">
        <v>100</v>
      </c>
      <c r="Y600" s="6">
        <v>598</v>
      </c>
      <c r="Z600">
        <v>120</v>
      </c>
      <c r="AB600" s="6">
        <v>584</v>
      </c>
      <c r="AC600">
        <v>4</v>
      </c>
    </row>
    <row r="601" spans="1:29" x14ac:dyDescent="0.25">
      <c r="A601">
        <v>600</v>
      </c>
      <c r="B601" s="1">
        <v>45221</v>
      </c>
      <c r="C601" t="s">
        <v>628</v>
      </c>
      <c r="D601" t="s">
        <v>16</v>
      </c>
      <c r="E601">
        <v>59</v>
      </c>
      <c r="F601" t="s">
        <v>13</v>
      </c>
      <c r="G601">
        <v>2</v>
      </c>
      <c r="H601">
        <v>500</v>
      </c>
      <c r="I601">
        <v>1000</v>
      </c>
      <c r="J601" t="str">
        <f t="shared" si="9"/>
        <v>46-60</v>
      </c>
      <c r="M601" s="6" t="s">
        <v>577</v>
      </c>
      <c r="N601">
        <v>100</v>
      </c>
      <c r="V601" s="6">
        <v>584</v>
      </c>
      <c r="W601">
        <v>200</v>
      </c>
      <c r="Y601" s="6">
        <v>599</v>
      </c>
      <c r="Z601">
        <v>100</v>
      </c>
      <c r="AB601" s="6">
        <v>585</v>
      </c>
      <c r="AC601">
        <v>1</v>
      </c>
    </row>
    <row r="602" spans="1:29" x14ac:dyDescent="0.25">
      <c r="A602">
        <v>601</v>
      </c>
      <c r="B602" s="1">
        <v>45026</v>
      </c>
      <c r="C602" t="s">
        <v>629</v>
      </c>
      <c r="D602" t="s">
        <v>12</v>
      </c>
      <c r="E602">
        <v>19</v>
      </c>
      <c r="F602" t="s">
        <v>17</v>
      </c>
      <c r="G602">
        <v>1</v>
      </c>
      <c r="H602">
        <v>30</v>
      </c>
      <c r="I602">
        <v>30</v>
      </c>
      <c r="J602" t="str">
        <f t="shared" si="9"/>
        <v>18-25</v>
      </c>
      <c r="M602" s="6" t="s">
        <v>539</v>
      </c>
      <c r="N602">
        <v>100</v>
      </c>
      <c r="V602" s="6">
        <v>585</v>
      </c>
      <c r="W602">
        <v>25</v>
      </c>
      <c r="Y602" s="6">
        <v>600</v>
      </c>
      <c r="Z602">
        <v>1000</v>
      </c>
      <c r="AB602" s="6">
        <v>586</v>
      </c>
      <c r="AC602">
        <v>1</v>
      </c>
    </row>
    <row r="603" spans="1:29" x14ac:dyDescent="0.25">
      <c r="A603">
        <v>602</v>
      </c>
      <c r="B603" s="1">
        <v>45283</v>
      </c>
      <c r="C603" t="s">
        <v>630</v>
      </c>
      <c r="D603" t="s">
        <v>16</v>
      </c>
      <c r="E603">
        <v>20</v>
      </c>
      <c r="F603" t="s">
        <v>20</v>
      </c>
      <c r="G603">
        <v>1</v>
      </c>
      <c r="H603">
        <v>300</v>
      </c>
      <c r="I603">
        <v>300</v>
      </c>
      <c r="J603" t="str">
        <f t="shared" si="9"/>
        <v>18-25</v>
      </c>
      <c r="M603" s="6" t="s">
        <v>658</v>
      </c>
      <c r="N603">
        <v>100</v>
      </c>
      <c r="V603" s="6">
        <v>586</v>
      </c>
      <c r="W603">
        <v>50</v>
      </c>
      <c r="Y603" s="6">
        <v>601</v>
      </c>
      <c r="Z603">
        <v>30</v>
      </c>
      <c r="AB603" s="6">
        <v>587</v>
      </c>
      <c r="AC603">
        <v>4</v>
      </c>
    </row>
    <row r="604" spans="1:29" x14ac:dyDescent="0.25">
      <c r="A604">
        <v>603</v>
      </c>
      <c r="B604" s="1">
        <v>45123</v>
      </c>
      <c r="C604" t="s">
        <v>631</v>
      </c>
      <c r="D604" t="s">
        <v>16</v>
      </c>
      <c r="E604">
        <v>40</v>
      </c>
      <c r="F604" t="s">
        <v>17</v>
      </c>
      <c r="G604">
        <v>3</v>
      </c>
      <c r="H604">
        <v>30</v>
      </c>
      <c r="I604">
        <v>90</v>
      </c>
      <c r="J604" t="str">
        <f t="shared" si="9"/>
        <v>36-45</v>
      </c>
      <c r="M604" s="6" t="s">
        <v>394</v>
      </c>
      <c r="N604">
        <v>100</v>
      </c>
      <c r="V604" s="6">
        <v>587</v>
      </c>
      <c r="W604">
        <v>1200</v>
      </c>
      <c r="Y604" s="6">
        <v>602</v>
      </c>
      <c r="Z604">
        <v>300</v>
      </c>
      <c r="AB604" s="6">
        <v>588</v>
      </c>
      <c r="AC604">
        <v>2</v>
      </c>
    </row>
    <row r="605" spans="1:29" x14ac:dyDescent="0.25">
      <c r="A605">
        <v>604</v>
      </c>
      <c r="B605" s="1">
        <v>45180</v>
      </c>
      <c r="C605" t="s">
        <v>632</v>
      </c>
      <c r="D605" t="s">
        <v>16</v>
      </c>
      <c r="E605">
        <v>29</v>
      </c>
      <c r="F605" t="s">
        <v>20</v>
      </c>
      <c r="G605">
        <v>4</v>
      </c>
      <c r="H605">
        <v>50</v>
      </c>
      <c r="I605">
        <v>200</v>
      </c>
      <c r="J605" t="str">
        <f t="shared" si="9"/>
        <v>26-35</v>
      </c>
      <c r="M605" s="6" t="s">
        <v>660</v>
      </c>
      <c r="N605">
        <v>100</v>
      </c>
      <c r="V605" s="6">
        <v>588</v>
      </c>
      <c r="W605">
        <v>60</v>
      </c>
      <c r="Y605" s="6">
        <v>603</v>
      </c>
      <c r="Z605">
        <v>90</v>
      </c>
      <c r="AB605" s="6">
        <v>589</v>
      </c>
      <c r="AC605">
        <v>2</v>
      </c>
    </row>
    <row r="606" spans="1:29" x14ac:dyDescent="0.25">
      <c r="A606">
        <v>605</v>
      </c>
      <c r="B606" s="1">
        <v>45131</v>
      </c>
      <c r="C606" t="s">
        <v>633</v>
      </c>
      <c r="D606" t="s">
        <v>12</v>
      </c>
      <c r="E606">
        <v>37</v>
      </c>
      <c r="F606" t="s">
        <v>20</v>
      </c>
      <c r="G606">
        <v>2</v>
      </c>
      <c r="H606">
        <v>500</v>
      </c>
      <c r="I606">
        <v>1000</v>
      </c>
      <c r="J606" t="str">
        <f t="shared" si="9"/>
        <v>36-45</v>
      </c>
      <c r="M606" s="6" t="s">
        <v>637</v>
      </c>
      <c r="N606">
        <v>100</v>
      </c>
      <c r="V606" s="6">
        <v>589</v>
      </c>
      <c r="W606">
        <v>1000</v>
      </c>
      <c r="Y606" s="6">
        <v>604</v>
      </c>
      <c r="Z606">
        <v>200</v>
      </c>
      <c r="AB606" s="6">
        <v>590</v>
      </c>
      <c r="AC606">
        <v>3</v>
      </c>
    </row>
    <row r="607" spans="1:29" x14ac:dyDescent="0.25">
      <c r="A607">
        <v>606</v>
      </c>
      <c r="B607" s="1">
        <v>45051</v>
      </c>
      <c r="C607" t="s">
        <v>634</v>
      </c>
      <c r="D607" t="s">
        <v>12</v>
      </c>
      <c r="E607">
        <v>22</v>
      </c>
      <c r="F607" t="s">
        <v>20</v>
      </c>
      <c r="G607">
        <v>1</v>
      </c>
      <c r="H607">
        <v>50</v>
      </c>
      <c r="I607">
        <v>50</v>
      </c>
      <c r="J607" t="str">
        <f t="shared" si="9"/>
        <v>18-25</v>
      </c>
      <c r="M607" s="6" t="s">
        <v>366</v>
      </c>
      <c r="N607">
        <v>100</v>
      </c>
      <c r="V607" s="6">
        <v>590</v>
      </c>
      <c r="W607">
        <v>900</v>
      </c>
      <c r="Y607" s="6">
        <v>605</v>
      </c>
      <c r="Z607">
        <v>1000</v>
      </c>
      <c r="AB607" s="6">
        <v>591</v>
      </c>
      <c r="AC607">
        <v>4</v>
      </c>
    </row>
    <row r="608" spans="1:29" x14ac:dyDescent="0.25">
      <c r="A608">
        <v>607</v>
      </c>
      <c r="B608" s="1">
        <v>45002</v>
      </c>
      <c r="C608" t="s">
        <v>635</v>
      </c>
      <c r="D608" t="s">
        <v>12</v>
      </c>
      <c r="E608">
        <v>54</v>
      </c>
      <c r="F608" t="s">
        <v>17</v>
      </c>
      <c r="G608">
        <v>3</v>
      </c>
      <c r="H608">
        <v>25</v>
      </c>
      <c r="I608">
        <v>75</v>
      </c>
      <c r="J608" t="str">
        <f t="shared" si="9"/>
        <v>46-60</v>
      </c>
      <c r="M608" s="6" t="s">
        <v>483</v>
      </c>
      <c r="N608">
        <v>100</v>
      </c>
      <c r="V608" s="6">
        <v>591</v>
      </c>
      <c r="W608">
        <v>100</v>
      </c>
      <c r="Y608" s="6">
        <v>606</v>
      </c>
      <c r="Z608">
        <v>50</v>
      </c>
      <c r="AB608" s="6">
        <v>592</v>
      </c>
      <c r="AC608">
        <v>4</v>
      </c>
    </row>
    <row r="609" spans="1:29" x14ac:dyDescent="0.25">
      <c r="A609">
        <v>608</v>
      </c>
      <c r="B609" s="1">
        <v>45262</v>
      </c>
      <c r="C609" t="s">
        <v>636</v>
      </c>
      <c r="D609" t="s">
        <v>16</v>
      </c>
      <c r="E609">
        <v>55</v>
      </c>
      <c r="F609" t="s">
        <v>20</v>
      </c>
      <c r="G609">
        <v>3</v>
      </c>
      <c r="H609">
        <v>500</v>
      </c>
      <c r="I609">
        <v>1500</v>
      </c>
      <c r="J609" t="str">
        <f t="shared" si="9"/>
        <v>46-60</v>
      </c>
      <c r="M609" s="6" t="s">
        <v>388</v>
      </c>
      <c r="N609">
        <v>100</v>
      </c>
      <c r="V609" s="6">
        <v>592</v>
      </c>
      <c r="W609">
        <v>2000</v>
      </c>
      <c r="Y609" s="6">
        <v>607</v>
      </c>
      <c r="Z609">
        <v>75</v>
      </c>
      <c r="AB609" s="6">
        <v>593</v>
      </c>
      <c r="AC609">
        <v>2</v>
      </c>
    </row>
    <row r="610" spans="1:29" x14ac:dyDescent="0.25">
      <c r="A610">
        <v>609</v>
      </c>
      <c r="B610" s="1">
        <v>45279</v>
      </c>
      <c r="C610" t="s">
        <v>637</v>
      </c>
      <c r="D610" t="s">
        <v>16</v>
      </c>
      <c r="E610">
        <v>47</v>
      </c>
      <c r="F610" t="s">
        <v>17</v>
      </c>
      <c r="G610">
        <v>2</v>
      </c>
      <c r="H610">
        <v>50</v>
      </c>
      <c r="I610">
        <v>100</v>
      </c>
      <c r="J610" t="str">
        <f t="shared" si="9"/>
        <v>46-60</v>
      </c>
      <c r="M610" s="6" t="s">
        <v>689</v>
      </c>
      <c r="N610">
        <v>100</v>
      </c>
      <c r="V610" s="6">
        <v>593</v>
      </c>
      <c r="W610">
        <v>60</v>
      </c>
      <c r="Y610" s="6">
        <v>608</v>
      </c>
      <c r="Z610">
        <v>1500</v>
      </c>
      <c r="AB610" s="6">
        <v>594</v>
      </c>
      <c r="AC610">
        <v>2</v>
      </c>
    </row>
    <row r="611" spans="1:29" x14ac:dyDescent="0.25">
      <c r="A611">
        <v>610</v>
      </c>
      <c r="B611" s="1">
        <v>44929</v>
      </c>
      <c r="C611" t="s">
        <v>638</v>
      </c>
      <c r="D611" t="s">
        <v>16</v>
      </c>
      <c r="E611">
        <v>26</v>
      </c>
      <c r="F611" t="s">
        <v>13</v>
      </c>
      <c r="G611">
        <v>2</v>
      </c>
      <c r="H611">
        <v>300</v>
      </c>
      <c r="I611">
        <v>600</v>
      </c>
      <c r="J611" t="str">
        <f t="shared" si="9"/>
        <v>26-35</v>
      </c>
      <c r="M611" s="6" t="s">
        <v>494</v>
      </c>
      <c r="N611">
        <v>100</v>
      </c>
      <c r="V611" s="6">
        <v>594</v>
      </c>
      <c r="W611">
        <v>600</v>
      </c>
      <c r="Y611" s="6">
        <v>609</v>
      </c>
      <c r="Z611">
        <v>100</v>
      </c>
      <c r="AB611" s="6">
        <v>595</v>
      </c>
      <c r="AC611">
        <v>4</v>
      </c>
    </row>
    <row r="612" spans="1:29" x14ac:dyDescent="0.25">
      <c r="A612">
        <v>611</v>
      </c>
      <c r="B612" s="1">
        <v>44981</v>
      </c>
      <c r="C612" t="s">
        <v>639</v>
      </c>
      <c r="D612" t="s">
        <v>12</v>
      </c>
      <c r="E612">
        <v>51</v>
      </c>
      <c r="F612" t="s">
        <v>13</v>
      </c>
      <c r="G612">
        <v>3</v>
      </c>
      <c r="H612">
        <v>500</v>
      </c>
      <c r="I612">
        <v>1500</v>
      </c>
      <c r="J612" t="str">
        <f t="shared" si="9"/>
        <v>46-60</v>
      </c>
      <c r="M612" s="6" t="s">
        <v>442</v>
      </c>
      <c r="N612">
        <v>100</v>
      </c>
      <c r="V612" s="6">
        <v>595</v>
      </c>
      <c r="W612">
        <v>2000</v>
      </c>
      <c r="Y612" s="6">
        <v>610</v>
      </c>
      <c r="Z612">
        <v>600</v>
      </c>
      <c r="AB612" s="6">
        <v>596</v>
      </c>
      <c r="AC612">
        <v>1</v>
      </c>
    </row>
    <row r="613" spans="1:29" x14ac:dyDescent="0.25">
      <c r="A613">
        <v>612</v>
      </c>
      <c r="B613" s="1">
        <v>45144</v>
      </c>
      <c r="C613" t="s">
        <v>640</v>
      </c>
      <c r="D613" t="s">
        <v>16</v>
      </c>
      <c r="E613">
        <v>61</v>
      </c>
      <c r="F613" t="s">
        <v>20</v>
      </c>
      <c r="G613">
        <v>1</v>
      </c>
      <c r="H613">
        <v>500</v>
      </c>
      <c r="I613">
        <v>500</v>
      </c>
      <c r="J613" t="b">
        <f t="shared" si="9"/>
        <v>0</v>
      </c>
      <c r="M613" s="6" t="s">
        <v>554</v>
      </c>
      <c r="N613">
        <v>100</v>
      </c>
      <c r="V613" s="6">
        <v>596</v>
      </c>
      <c r="W613">
        <v>300</v>
      </c>
      <c r="Y613" s="6">
        <v>611</v>
      </c>
      <c r="Z613">
        <v>1500</v>
      </c>
      <c r="AB613" s="6">
        <v>597</v>
      </c>
      <c r="AC613">
        <v>4</v>
      </c>
    </row>
    <row r="614" spans="1:29" x14ac:dyDescent="0.25">
      <c r="A614">
        <v>613</v>
      </c>
      <c r="B614" s="1">
        <v>45039</v>
      </c>
      <c r="C614" t="s">
        <v>641</v>
      </c>
      <c r="D614" t="s">
        <v>16</v>
      </c>
      <c r="E614">
        <v>52</v>
      </c>
      <c r="F614" t="s">
        <v>17</v>
      </c>
      <c r="G614">
        <v>3</v>
      </c>
      <c r="H614">
        <v>30</v>
      </c>
      <c r="I614">
        <v>90</v>
      </c>
      <c r="J614" t="str">
        <f t="shared" si="9"/>
        <v>46-60</v>
      </c>
      <c r="M614" s="6" t="s">
        <v>470</v>
      </c>
      <c r="N614">
        <v>100</v>
      </c>
      <c r="V614" s="6">
        <v>597</v>
      </c>
      <c r="W614">
        <v>1200</v>
      </c>
      <c r="Y614" s="6">
        <v>612</v>
      </c>
      <c r="Z614">
        <v>500</v>
      </c>
      <c r="AB614" s="6">
        <v>598</v>
      </c>
      <c r="AC614">
        <v>4</v>
      </c>
    </row>
    <row r="615" spans="1:29" x14ac:dyDescent="0.25">
      <c r="A615">
        <v>614</v>
      </c>
      <c r="B615" s="1">
        <v>45017</v>
      </c>
      <c r="C615" t="s">
        <v>642</v>
      </c>
      <c r="D615" t="s">
        <v>16</v>
      </c>
      <c r="E615">
        <v>39</v>
      </c>
      <c r="F615" t="s">
        <v>13</v>
      </c>
      <c r="G615">
        <v>4</v>
      </c>
      <c r="H615">
        <v>300</v>
      </c>
      <c r="I615">
        <v>1200</v>
      </c>
      <c r="J615" t="str">
        <f t="shared" si="9"/>
        <v>36-45</v>
      </c>
      <c r="M615" s="6" t="s">
        <v>643</v>
      </c>
      <c r="N615">
        <v>100</v>
      </c>
      <c r="V615" s="6">
        <v>598</v>
      </c>
      <c r="W615">
        <v>120</v>
      </c>
      <c r="Y615" s="6">
        <v>613</v>
      </c>
      <c r="Z615">
        <v>90</v>
      </c>
      <c r="AB615" s="6">
        <v>599</v>
      </c>
      <c r="AC615">
        <v>2</v>
      </c>
    </row>
    <row r="616" spans="1:29" x14ac:dyDescent="0.25">
      <c r="A616">
        <v>615</v>
      </c>
      <c r="B616" s="1">
        <v>45283</v>
      </c>
      <c r="C616" t="s">
        <v>643</v>
      </c>
      <c r="D616" t="s">
        <v>16</v>
      </c>
      <c r="E616">
        <v>61</v>
      </c>
      <c r="F616" t="s">
        <v>17</v>
      </c>
      <c r="G616">
        <v>4</v>
      </c>
      <c r="H616">
        <v>25</v>
      </c>
      <c r="I616">
        <v>100</v>
      </c>
      <c r="J616" t="b">
        <f t="shared" si="9"/>
        <v>0</v>
      </c>
      <c r="M616" s="6" t="s">
        <v>541</v>
      </c>
      <c r="N616">
        <v>100</v>
      </c>
      <c r="V616" s="6">
        <v>599</v>
      </c>
      <c r="W616">
        <v>100</v>
      </c>
      <c r="Y616" s="6">
        <v>614</v>
      </c>
      <c r="Z616">
        <v>1200</v>
      </c>
      <c r="AB616" s="6">
        <v>600</v>
      </c>
      <c r="AC616">
        <v>2</v>
      </c>
    </row>
    <row r="617" spans="1:29" x14ac:dyDescent="0.25">
      <c r="A617">
        <v>616</v>
      </c>
      <c r="B617" s="1">
        <v>45192</v>
      </c>
      <c r="C617" t="s">
        <v>644</v>
      </c>
      <c r="D617" t="s">
        <v>12</v>
      </c>
      <c r="E617">
        <v>41</v>
      </c>
      <c r="F617" t="s">
        <v>17</v>
      </c>
      <c r="G617">
        <v>2</v>
      </c>
      <c r="H617">
        <v>50</v>
      </c>
      <c r="I617">
        <v>100</v>
      </c>
      <c r="J617" t="str">
        <f t="shared" si="9"/>
        <v>36-45</v>
      </c>
      <c r="M617" s="6" t="s">
        <v>528</v>
      </c>
      <c r="N617">
        <v>100</v>
      </c>
      <c r="V617" s="6">
        <v>600</v>
      </c>
      <c r="W617">
        <v>1000</v>
      </c>
      <c r="Y617" s="6">
        <v>615</v>
      </c>
      <c r="Z617">
        <v>100</v>
      </c>
      <c r="AB617" s="6">
        <v>601</v>
      </c>
      <c r="AC617">
        <v>1</v>
      </c>
    </row>
    <row r="618" spans="1:29" x14ac:dyDescent="0.25">
      <c r="A618">
        <v>617</v>
      </c>
      <c r="B618" s="1">
        <v>45164</v>
      </c>
      <c r="C618" t="s">
        <v>645</v>
      </c>
      <c r="D618" t="s">
        <v>12</v>
      </c>
      <c r="E618">
        <v>34</v>
      </c>
      <c r="F618" t="s">
        <v>20</v>
      </c>
      <c r="G618">
        <v>1</v>
      </c>
      <c r="H618">
        <v>30</v>
      </c>
      <c r="I618">
        <v>30</v>
      </c>
      <c r="J618" t="str">
        <f t="shared" si="9"/>
        <v>26-35</v>
      </c>
      <c r="M618" s="6" t="s">
        <v>356</v>
      </c>
      <c r="N618">
        <v>100</v>
      </c>
      <c r="V618" s="6">
        <v>601</v>
      </c>
      <c r="W618">
        <v>30</v>
      </c>
      <c r="Y618" s="6">
        <v>616</v>
      </c>
      <c r="Z618">
        <v>100</v>
      </c>
      <c r="AB618" s="6">
        <v>602</v>
      </c>
      <c r="AC618">
        <v>1</v>
      </c>
    </row>
    <row r="619" spans="1:29" x14ac:dyDescent="0.25">
      <c r="A619">
        <v>618</v>
      </c>
      <c r="B619" s="1">
        <v>44952</v>
      </c>
      <c r="C619" t="s">
        <v>646</v>
      </c>
      <c r="D619" t="s">
        <v>16</v>
      </c>
      <c r="E619">
        <v>27</v>
      </c>
      <c r="F619" t="s">
        <v>13</v>
      </c>
      <c r="G619">
        <v>1</v>
      </c>
      <c r="H619">
        <v>50</v>
      </c>
      <c r="I619">
        <v>50</v>
      </c>
      <c r="J619" t="str">
        <f t="shared" si="9"/>
        <v>26-35</v>
      </c>
      <c r="M619" s="6" t="s">
        <v>81</v>
      </c>
      <c r="N619">
        <v>100</v>
      </c>
      <c r="V619" s="6">
        <v>602</v>
      </c>
      <c r="W619">
        <v>300</v>
      </c>
      <c r="Y619" s="6">
        <v>617</v>
      </c>
      <c r="Z619">
        <v>30</v>
      </c>
      <c r="AB619" s="6">
        <v>603</v>
      </c>
      <c r="AC619">
        <v>3</v>
      </c>
    </row>
    <row r="620" spans="1:29" x14ac:dyDescent="0.25">
      <c r="A620">
        <v>619</v>
      </c>
      <c r="B620" s="1">
        <v>45212</v>
      </c>
      <c r="C620" t="s">
        <v>647</v>
      </c>
      <c r="D620" t="s">
        <v>12</v>
      </c>
      <c r="E620">
        <v>47</v>
      </c>
      <c r="F620" t="s">
        <v>20</v>
      </c>
      <c r="G620">
        <v>4</v>
      </c>
      <c r="H620">
        <v>25</v>
      </c>
      <c r="I620">
        <v>100</v>
      </c>
      <c r="J620" t="str">
        <f t="shared" si="9"/>
        <v>46-60</v>
      </c>
      <c r="M620" s="6" t="s">
        <v>255</v>
      </c>
      <c r="N620">
        <v>100</v>
      </c>
      <c r="V620" s="6">
        <v>603</v>
      </c>
      <c r="W620">
        <v>90</v>
      </c>
      <c r="Y620" s="6">
        <v>618</v>
      </c>
      <c r="Z620">
        <v>50</v>
      </c>
      <c r="AB620" s="6">
        <v>604</v>
      </c>
      <c r="AC620">
        <v>4</v>
      </c>
    </row>
    <row r="621" spans="1:29" x14ac:dyDescent="0.25">
      <c r="A621">
        <v>620</v>
      </c>
      <c r="B621" s="1">
        <v>45054</v>
      </c>
      <c r="C621" t="s">
        <v>648</v>
      </c>
      <c r="D621" t="s">
        <v>12</v>
      </c>
      <c r="E621">
        <v>63</v>
      </c>
      <c r="F621" t="s">
        <v>20</v>
      </c>
      <c r="G621">
        <v>3</v>
      </c>
      <c r="H621">
        <v>25</v>
      </c>
      <c r="I621">
        <v>75</v>
      </c>
      <c r="J621" t="b">
        <f t="shared" si="9"/>
        <v>0</v>
      </c>
      <c r="M621" s="6" t="s">
        <v>306</v>
      </c>
      <c r="N621">
        <v>100</v>
      </c>
      <c r="V621" s="6">
        <v>604</v>
      </c>
      <c r="W621">
        <v>200</v>
      </c>
      <c r="Y621" s="6">
        <v>619</v>
      </c>
      <c r="Z621">
        <v>100</v>
      </c>
      <c r="AB621" s="6">
        <v>605</v>
      </c>
      <c r="AC621">
        <v>2</v>
      </c>
    </row>
    <row r="622" spans="1:29" x14ac:dyDescent="0.25">
      <c r="A622">
        <v>621</v>
      </c>
      <c r="B622" s="1">
        <v>44989</v>
      </c>
      <c r="C622" t="s">
        <v>649</v>
      </c>
      <c r="D622" t="s">
        <v>16</v>
      </c>
      <c r="E622">
        <v>40</v>
      </c>
      <c r="F622" t="s">
        <v>13</v>
      </c>
      <c r="G622">
        <v>2</v>
      </c>
      <c r="H622">
        <v>500</v>
      </c>
      <c r="I622">
        <v>1000</v>
      </c>
      <c r="J622" t="str">
        <f t="shared" si="9"/>
        <v>36-45</v>
      </c>
      <c r="M622" s="6" t="s">
        <v>90</v>
      </c>
      <c r="N622">
        <v>100</v>
      </c>
      <c r="V622" s="6">
        <v>605</v>
      </c>
      <c r="W622">
        <v>1000</v>
      </c>
      <c r="Y622" s="6">
        <v>620</v>
      </c>
      <c r="Z622">
        <v>75</v>
      </c>
      <c r="AB622" s="6">
        <v>606</v>
      </c>
      <c r="AC622">
        <v>1</v>
      </c>
    </row>
    <row r="623" spans="1:29" x14ac:dyDescent="0.25">
      <c r="A623">
        <v>622</v>
      </c>
      <c r="B623" s="1">
        <v>45160</v>
      </c>
      <c r="C623" t="s">
        <v>650</v>
      </c>
      <c r="D623" t="s">
        <v>16</v>
      </c>
      <c r="E623">
        <v>49</v>
      </c>
      <c r="F623" t="s">
        <v>13</v>
      </c>
      <c r="G623">
        <v>3</v>
      </c>
      <c r="H623">
        <v>25</v>
      </c>
      <c r="I623">
        <v>75</v>
      </c>
      <c r="J623" t="str">
        <f t="shared" si="9"/>
        <v>46-60</v>
      </c>
      <c r="M623" s="6" t="s">
        <v>99</v>
      </c>
      <c r="N623">
        <v>100</v>
      </c>
      <c r="V623" s="6">
        <v>606</v>
      </c>
      <c r="W623">
        <v>50</v>
      </c>
      <c r="Y623" s="6">
        <v>621</v>
      </c>
      <c r="Z623">
        <v>1000</v>
      </c>
      <c r="AB623" s="6">
        <v>607</v>
      </c>
      <c r="AC623">
        <v>3</v>
      </c>
    </row>
    <row r="624" spans="1:29" x14ac:dyDescent="0.25">
      <c r="A624">
        <v>623</v>
      </c>
      <c r="B624" s="1">
        <v>44995</v>
      </c>
      <c r="C624" t="s">
        <v>651</v>
      </c>
      <c r="D624" t="s">
        <v>12</v>
      </c>
      <c r="E624">
        <v>34</v>
      </c>
      <c r="F624" t="s">
        <v>17</v>
      </c>
      <c r="G624">
        <v>3</v>
      </c>
      <c r="H624">
        <v>50</v>
      </c>
      <c r="I624">
        <v>150</v>
      </c>
      <c r="J624" t="str">
        <f t="shared" si="9"/>
        <v>26-35</v>
      </c>
      <c r="M624" s="6" t="s">
        <v>305</v>
      </c>
      <c r="N624">
        <v>100</v>
      </c>
      <c r="V624" s="6">
        <v>607</v>
      </c>
      <c r="W624">
        <v>75</v>
      </c>
      <c r="Y624" s="6">
        <v>622</v>
      </c>
      <c r="Z624">
        <v>75</v>
      </c>
      <c r="AB624" s="6">
        <v>608</v>
      </c>
      <c r="AC624">
        <v>3</v>
      </c>
    </row>
    <row r="625" spans="1:29" x14ac:dyDescent="0.25">
      <c r="A625">
        <v>624</v>
      </c>
      <c r="B625" s="1">
        <v>45164</v>
      </c>
      <c r="C625" t="s">
        <v>652</v>
      </c>
      <c r="D625" t="s">
        <v>16</v>
      </c>
      <c r="E625">
        <v>34</v>
      </c>
      <c r="F625" t="s">
        <v>13</v>
      </c>
      <c r="G625">
        <v>3</v>
      </c>
      <c r="H625">
        <v>300</v>
      </c>
      <c r="I625">
        <v>900</v>
      </c>
      <c r="J625" t="str">
        <f t="shared" si="9"/>
        <v>26-35</v>
      </c>
      <c r="M625" s="6" t="s">
        <v>188</v>
      </c>
      <c r="N625">
        <v>100</v>
      </c>
      <c r="V625" s="6">
        <v>608</v>
      </c>
      <c r="W625">
        <v>1500</v>
      </c>
      <c r="Y625" s="6">
        <v>623</v>
      </c>
      <c r="Z625">
        <v>150</v>
      </c>
      <c r="AB625" s="6">
        <v>609</v>
      </c>
      <c r="AC625">
        <v>2</v>
      </c>
    </row>
    <row r="626" spans="1:29" x14ac:dyDescent="0.25">
      <c r="A626">
        <v>625</v>
      </c>
      <c r="B626" s="1">
        <v>45268</v>
      </c>
      <c r="C626" t="s">
        <v>653</v>
      </c>
      <c r="D626" t="s">
        <v>12</v>
      </c>
      <c r="E626">
        <v>31</v>
      </c>
      <c r="F626" t="s">
        <v>17</v>
      </c>
      <c r="G626">
        <v>1</v>
      </c>
      <c r="H626">
        <v>300</v>
      </c>
      <c r="I626">
        <v>300</v>
      </c>
      <c r="J626" t="str">
        <f t="shared" si="9"/>
        <v>26-35</v>
      </c>
      <c r="M626" s="6" t="s">
        <v>339</v>
      </c>
      <c r="N626">
        <v>100</v>
      </c>
      <c r="V626" s="6">
        <v>609</v>
      </c>
      <c r="W626">
        <v>100</v>
      </c>
      <c r="Y626" s="6">
        <v>624</v>
      </c>
      <c r="Z626">
        <v>900</v>
      </c>
      <c r="AB626" s="6">
        <v>610</v>
      </c>
      <c r="AC626">
        <v>2</v>
      </c>
    </row>
    <row r="627" spans="1:29" x14ac:dyDescent="0.25">
      <c r="A627">
        <v>626</v>
      </c>
      <c r="B627" s="1">
        <v>45198</v>
      </c>
      <c r="C627" t="s">
        <v>654</v>
      </c>
      <c r="D627" t="s">
        <v>16</v>
      </c>
      <c r="E627">
        <v>26</v>
      </c>
      <c r="F627" t="s">
        <v>17</v>
      </c>
      <c r="G627">
        <v>4</v>
      </c>
      <c r="H627">
        <v>500</v>
      </c>
      <c r="I627">
        <v>2000</v>
      </c>
      <c r="J627" t="str">
        <f t="shared" si="9"/>
        <v>26-35</v>
      </c>
      <c r="M627" s="6" t="s">
        <v>142</v>
      </c>
      <c r="N627">
        <v>100</v>
      </c>
      <c r="V627" s="6">
        <v>610</v>
      </c>
      <c r="W627">
        <v>600</v>
      </c>
      <c r="Y627" s="6">
        <v>625</v>
      </c>
      <c r="Z627">
        <v>300</v>
      </c>
      <c r="AB627" s="6">
        <v>611</v>
      </c>
      <c r="AC627">
        <v>3</v>
      </c>
    </row>
    <row r="628" spans="1:29" x14ac:dyDescent="0.25">
      <c r="A628">
        <v>627</v>
      </c>
      <c r="B628" s="1">
        <v>45213</v>
      </c>
      <c r="C628" t="s">
        <v>655</v>
      </c>
      <c r="D628" t="s">
        <v>12</v>
      </c>
      <c r="E628">
        <v>57</v>
      </c>
      <c r="F628" t="s">
        <v>17</v>
      </c>
      <c r="G628">
        <v>1</v>
      </c>
      <c r="H628">
        <v>50</v>
      </c>
      <c r="I628">
        <v>50</v>
      </c>
      <c r="J628" t="str">
        <f t="shared" si="9"/>
        <v>46-60</v>
      </c>
      <c r="M628" s="6" t="s">
        <v>204</v>
      </c>
      <c r="N628">
        <v>100</v>
      </c>
      <c r="V628" s="6">
        <v>611</v>
      </c>
      <c r="W628">
        <v>1500</v>
      </c>
      <c r="Y628" s="6">
        <v>626</v>
      </c>
      <c r="Z628">
        <v>2000</v>
      </c>
      <c r="AB628" s="6">
        <v>612</v>
      </c>
      <c r="AC628">
        <v>1</v>
      </c>
    </row>
    <row r="629" spans="1:29" x14ac:dyDescent="0.25">
      <c r="A629">
        <v>628</v>
      </c>
      <c r="B629" s="1">
        <v>45231</v>
      </c>
      <c r="C629" t="s">
        <v>656</v>
      </c>
      <c r="D629" t="s">
        <v>16</v>
      </c>
      <c r="E629">
        <v>19</v>
      </c>
      <c r="F629" t="s">
        <v>13</v>
      </c>
      <c r="G629">
        <v>4</v>
      </c>
      <c r="H629">
        <v>50</v>
      </c>
      <c r="I629">
        <v>200</v>
      </c>
      <c r="J629" t="str">
        <f t="shared" si="9"/>
        <v>18-25</v>
      </c>
      <c r="M629" s="6" t="s">
        <v>61</v>
      </c>
      <c r="N629">
        <v>100</v>
      </c>
      <c r="V629" s="6">
        <v>612</v>
      </c>
      <c r="W629">
        <v>500</v>
      </c>
      <c r="Y629" s="6">
        <v>627</v>
      </c>
      <c r="Z629">
        <v>50</v>
      </c>
      <c r="AB629" s="6">
        <v>613</v>
      </c>
      <c r="AC629">
        <v>3</v>
      </c>
    </row>
    <row r="630" spans="1:29" x14ac:dyDescent="0.25">
      <c r="A630">
        <v>629</v>
      </c>
      <c r="B630" s="1">
        <v>45089</v>
      </c>
      <c r="C630" t="s">
        <v>657</v>
      </c>
      <c r="D630" t="s">
        <v>12</v>
      </c>
      <c r="E630">
        <v>62</v>
      </c>
      <c r="F630" t="s">
        <v>20</v>
      </c>
      <c r="G630">
        <v>2</v>
      </c>
      <c r="H630">
        <v>25</v>
      </c>
      <c r="I630">
        <v>50</v>
      </c>
      <c r="J630" t="b">
        <f t="shared" si="9"/>
        <v>0</v>
      </c>
      <c r="M630" s="6" t="s">
        <v>34</v>
      </c>
      <c r="N630">
        <v>100</v>
      </c>
      <c r="V630" s="6">
        <v>613</v>
      </c>
      <c r="W630">
        <v>90</v>
      </c>
      <c r="Y630" s="6">
        <v>628</v>
      </c>
      <c r="Z630">
        <v>200</v>
      </c>
      <c r="AB630" s="6">
        <v>614</v>
      </c>
      <c r="AC630">
        <v>4</v>
      </c>
    </row>
    <row r="631" spans="1:29" x14ac:dyDescent="0.25">
      <c r="A631">
        <v>630</v>
      </c>
      <c r="B631" s="1">
        <v>45153</v>
      </c>
      <c r="C631" t="s">
        <v>658</v>
      </c>
      <c r="D631" t="s">
        <v>12</v>
      </c>
      <c r="E631">
        <v>42</v>
      </c>
      <c r="F631" t="s">
        <v>17</v>
      </c>
      <c r="G631">
        <v>2</v>
      </c>
      <c r="H631">
        <v>50</v>
      </c>
      <c r="I631">
        <v>100</v>
      </c>
      <c r="J631" t="str">
        <f t="shared" si="9"/>
        <v>36-45</v>
      </c>
      <c r="M631" s="6" t="s">
        <v>153</v>
      </c>
      <c r="N631">
        <v>100</v>
      </c>
      <c r="V631" s="6">
        <v>614</v>
      </c>
      <c r="W631">
        <v>1200</v>
      </c>
      <c r="Y631" s="6">
        <v>629</v>
      </c>
      <c r="Z631">
        <v>50</v>
      </c>
      <c r="AB631" s="6">
        <v>615</v>
      </c>
      <c r="AC631">
        <v>4</v>
      </c>
    </row>
    <row r="632" spans="1:29" x14ac:dyDescent="0.25">
      <c r="A632">
        <v>631</v>
      </c>
      <c r="B632" s="1">
        <v>45240</v>
      </c>
      <c r="C632" t="s">
        <v>659</v>
      </c>
      <c r="D632" t="s">
        <v>12</v>
      </c>
      <c r="E632">
        <v>56</v>
      </c>
      <c r="F632" t="s">
        <v>20</v>
      </c>
      <c r="G632">
        <v>3</v>
      </c>
      <c r="H632">
        <v>30</v>
      </c>
      <c r="I632">
        <v>90</v>
      </c>
      <c r="J632" t="str">
        <f t="shared" si="9"/>
        <v>46-60</v>
      </c>
      <c r="M632" s="6" t="s">
        <v>272</v>
      </c>
      <c r="N632">
        <v>100</v>
      </c>
      <c r="V632" s="6">
        <v>615</v>
      </c>
      <c r="W632">
        <v>100</v>
      </c>
      <c r="Y632" s="6">
        <v>630</v>
      </c>
      <c r="Z632">
        <v>100</v>
      </c>
      <c r="AB632" s="6">
        <v>616</v>
      </c>
      <c r="AC632">
        <v>2</v>
      </c>
    </row>
    <row r="633" spans="1:29" x14ac:dyDescent="0.25">
      <c r="A633">
        <v>632</v>
      </c>
      <c r="B633" s="1">
        <v>45185</v>
      </c>
      <c r="C633" t="s">
        <v>660</v>
      </c>
      <c r="D633" t="s">
        <v>16</v>
      </c>
      <c r="E633">
        <v>26</v>
      </c>
      <c r="F633" t="s">
        <v>20</v>
      </c>
      <c r="G633">
        <v>4</v>
      </c>
      <c r="H633">
        <v>25</v>
      </c>
      <c r="I633">
        <v>100</v>
      </c>
      <c r="J633" t="str">
        <f t="shared" si="9"/>
        <v>26-35</v>
      </c>
      <c r="M633" s="6" t="s">
        <v>315</v>
      </c>
      <c r="N633">
        <v>100</v>
      </c>
      <c r="V633" s="6">
        <v>616</v>
      </c>
      <c r="W633">
        <v>100</v>
      </c>
      <c r="Y633" s="6">
        <v>631</v>
      </c>
      <c r="Z633">
        <v>90</v>
      </c>
      <c r="AB633" s="6">
        <v>617</v>
      </c>
      <c r="AC633">
        <v>1</v>
      </c>
    </row>
    <row r="634" spans="1:29" x14ac:dyDescent="0.25">
      <c r="A634">
        <v>633</v>
      </c>
      <c r="B634" s="1">
        <v>45145</v>
      </c>
      <c r="C634" t="s">
        <v>661</v>
      </c>
      <c r="D634" t="s">
        <v>12</v>
      </c>
      <c r="E634">
        <v>39</v>
      </c>
      <c r="F634" t="s">
        <v>13</v>
      </c>
      <c r="G634">
        <v>4</v>
      </c>
      <c r="H634">
        <v>30</v>
      </c>
      <c r="I634">
        <v>120</v>
      </c>
      <c r="J634" t="str">
        <f t="shared" si="9"/>
        <v>36-45</v>
      </c>
      <c r="M634" s="6" t="s">
        <v>215</v>
      </c>
      <c r="N634">
        <v>100</v>
      </c>
      <c r="V634" s="6">
        <v>617</v>
      </c>
      <c r="W634">
        <v>30</v>
      </c>
      <c r="Y634" s="6">
        <v>632</v>
      </c>
      <c r="Z634">
        <v>100</v>
      </c>
      <c r="AB634" s="6">
        <v>618</v>
      </c>
      <c r="AC634">
        <v>1</v>
      </c>
    </row>
    <row r="635" spans="1:29" x14ac:dyDescent="0.25">
      <c r="A635">
        <v>634</v>
      </c>
      <c r="B635" s="1">
        <v>45207</v>
      </c>
      <c r="C635" t="s">
        <v>662</v>
      </c>
      <c r="D635" t="s">
        <v>12</v>
      </c>
      <c r="E635">
        <v>60</v>
      </c>
      <c r="F635" t="s">
        <v>20</v>
      </c>
      <c r="G635">
        <v>4</v>
      </c>
      <c r="H635">
        <v>500</v>
      </c>
      <c r="I635">
        <v>2000</v>
      </c>
      <c r="J635" t="str">
        <f t="shared" si="9"/>
        <v>46-60</v>
      </c>
      <c r="M635" s="6" t="s">
        <v>111</v>
      </c>
      <c r="N635">
        <v>100</v>
      </c>
      <c r="V635" s="6">
        <v>618</v>
      </c>
      <c r="W635">
        <v>50</v>
      </c>
      <c r="Y635" s="6">
        <v>633</v>
      </c>
      <c r="Z635">
        <v>120</v>
      </c>
      <c r="AB635" s="6">
        <v>619</v>
      </c>
      <c r="AC635">
        <v>4</v>
      </c>
    </row>
    <row r="636" spans="1:29" x14ac:dyDescent="0.25">
      <c r="A636">
        <v>635</v>
      </c>
      <c r="B636" s="1">
        <v>45155</v>
      </c>
      <c r="C636" t="s">
        <v>663</v>
      </c>
      <c r="D636" t="s">
        <v>16</v>
      </c>
      <c r="E636">
        <v>63</v>
      </c>
      <c r="F636" t="s">
        <v>20</v>
      </c>
      <c r="G636">
        <v>3</v>
      </c>
      <c r="H636">
        <v>300</v>
      </c>
      <c r="I636">
        <v>900</v>
      </c>
      <c r="J636" t="b">
        <f t="shared" si="9"/>
        <v>0</v>
      </c>
      <c r="M636" s="6" t="s">
        <v>300</v>
      </c>
      <c r="N636">
        <v>100</v>
      </c>
      <c r="V636" s="6">
        <v>619</v>
      </c>
      <c r="W636">
        <v>100</v>
      </c>
      <c r="Y636" s="6">
        <v>634</v>
      </c>
      <c r="Z636">
        <v>2000</v>
      </c>
      <c r="AB636" s="6">
        <v>620</v>
      </c>
      <c r="AC636">
        <v>3</v>
      </c>
    </row>
    <row r="637" spans="1:29" x14ac:dyDescent="0.25">
      <c r="A637">
        <v>636</v>
      </c>
      <c r="B637" s="1">
        <v>45008</v>
      </c>
      <c r="C637" t="s">
        <v>664</v>
      </c>
      <c r="D637" t="s">
        <v>16</v>
      </c>
      <c r="E637">
        <v>21</v>
      </c>
      <c r="F637" t="s">
        <v>13</v>
      </c>
      <c r="G637">
        <v>3</v>
      </c>
      <c r="H637">
        <v>500</v>
      </c>
      <c r="I637">
        <v>1500</v>
      </c>
      <c r="J637" t="str">
        <f t="shared" si="9"/>
        <v>18-25</v>
      </c>
      <c r="M637" s="6" t="s">
        <v>23</v>
      </c>
      <c r="N637">
        <v>100</v>
      </c>
      <c r="V637" s="6">
        <v>620</v>
      </c>
      <c r="W637">
        <v>75</v>
      </c>
      <c r="Y637" s="6">
        <v>635</v>
      </c>
      <c r="Z637">
        <v>900</v>
      </c>
      <c r="AB637" s="6">
        <v>621</v>
      </c>
      <c r="AC637">
        <v>2</v>
      </c>
    </row>
    <row r="638" spans="1:29" x14ac:dyDescent="0.25">
      <c r="A638">
        <v>637</v>
      </c>
      <c r="B638" s="1">
        <v>45170</v>
      </c>
      <c r="C638" t="s">
        <v>665</v>
      </c>
      <c r="D638" t="s">
        <v>12</v>
      </c>
      <c r="E638">
        <v>43</v>
      </c>
      <c r="F638" t="s">
        <v>17</v>
      </c>
      <c r="G638">
        <v>2</v>
      </c>
      <c r="H638">
        <v>300</v>
      </c>
      <c r="I638">
        <v>600</v>
      </c>
      <c r="J638" t="str">
        <f t="shared" si="9"/>
        <v>36-45</v>
      </c>
      <c r="M638" s="6" t="s">
        <v>115</v>
      </c>
      <c r="N638">
        <v>100</v>
      </c>
      <c r="V638" s="6">
        <v>621</v>
      </c>
      <c r="W638">
        <v>1000</v>
      </c>
      <c r="Y638" s="6">
        <v>636</v>
      </c>
      <c r="Z638">
        <v>1500</v>
      </c>
      <c r="AB638" s="6">
        <v>622</v>
      </c>
      <c r="AC638">
        <v>3</v>
      </c>
    </row>
    <row r="639" spans="1:29" x14ac:dyDescent="0.25">
      <c r="A639">
        <v>638</v>
      </c>
      <c r="B639" s="1">
        <v>45157</v>
      </c>
      <c r="C639" t="s">
        <v>666</v>
      </c>
      <c r="D639" t="s">
        <v>12</v>
      </c>
      <c r="E639">
        <v>46</v>
      </c>
      <c r="F639" t="s">
        <v>20</v>
      </c>
      <c r="G639">
        <v>1</v>
      </c>
      <c r="H639">
        <v>500</v>
      </c>
      <c r="I639">
        <v>500</v>
      </c>
      <c r="J639" t="str">
        <f t="shared" si="9"/>
        <v>46-60</v>
      </c>
      <c r="M639" s="6" t="s">
        <v>126</v>
      </c>
      <c r="N639">
        <v>100</v>
      </c>
      <c r="V639" s="6">
        <v>622</v>
      </c>
      <c r="W639">
        <v>75</v>
      </c>
      <c r="Y639" s="6">
        <v>637</v>
      </c>
      <c r="Z639">
        <v>600</v>
      </c>
      <c r="AB639" s="6">
        <v>623</v>
      </c>
      <c r="AC639">
        <v>3</v>
      </c>
    </row>
    <row r="640" spans="1:29" x14ac:dyDescent="0.25">
      <c r="A640">
        <v>639</v>
      </c>
      <c r="B640" s="1">
        <v>45059</v>
      </c>
      <c r="C640" t="s">
        <v>667</v>
      </c>
      <c r="D640" t="s">
        <v>16</v>
      </c>
      <c r="E640">
        <v>62</v>
      </c>
      <c r="F640" t="s">
        <v>13</v>
      </c>
      <c r="G640">
        <v>4</v>
      </c>
      <c r="H640">
        <v>50</v>
      </c>
      <c r="I640">
        <v>200</v>
      </c>
      <c r="J640" t="b">
        <f t="shared" si="9"/>
        <v>0</v>
      </c>
      <c r="M640" s="6" t="s">
        <v>220</v>
      </c>
      <c r="N640">
        <v>100</v>
      </c>
      <c r="V640" s="6">
        <v>623</v>
      </c>
      <c r="W640">
        <v>150</v>
      </c>
      <c r="Y640" s="6">
        <v>638</v>
      </c>
      <c r="Z640">
        <v>500</v>
      </c>
      <c r="AB640" s="6">
        <v>624</v>
      </c>
      <c r="AC640">
        <v>3</v>
      </c>
    </row>
    <row r="641" spans="1:29" x14ac:dyDescent="0.25">
      <c r="A641">
        <v>640</v>
      </c>
      <c r="B641" s="1">
        <v>45053</v>
      </c>
      <c r="C641" t="s">
        <v>668</v>
      </c>
      <c r="D641" t="s">
        <v>16</v>
      </c>
      <c r="E641">
        <v>51</v>
      </c>
      <c r="F641" t="s">
        <v>20</v>
      </c>
      <c r="G641">
        <v>4</v>
      </c>
      <c r="H641">
        <v>30</v>
      </c>
      <c r="I641">
        <v>120</v>
      </c>
      <c r="J641" t="str">
        <f t="shared" si="9"/>
        <v>46-60</v>
      </c>
      <c r="M641" s="6" t="s">
        <v>48</v>
      </c>
      <c r="N641">
        <v>100</v>
      </c>
      <c r="V641" s="6">
        <v>624</v>
      </c>
      <c r="W641">
        <v>900</v>
      </c>
      <c r="Y641" s="6">
        <v>639</v>
      </c>
      <c r="Z641">
        <v>200</v>
      </c>
      <c r="AB641" s="6">
        <v>625</v>
      </c>
      <c r="AC641">
        <v>1</v>
      </c>
    </row>
    <row r="642" spans="1:29" x14ac:dyDescent="0.25">
      <c r="A642">
        <v>641</v>
      </c>
      <c r="B642" s="1">
        <v>45253</v>
      </c>
      <c r="C642" t="s">
        <v>669</v>
      </c>
      <c r="D642" t="s">
        <v>16</v>
      </c>
      <c r="E642">
        <v>40</v>
      </c>
      <c r="F642" t="s">
        <v>20</v>
      </c>
      <c r="G642">
        <v>1</v>
      </c>
      <c r="H642">
        <v>300</v>
      </c>
      <c r="I642">
        <v>300</v>
      </c>
      <c r="J642" t="str">
        <f t="shared" si="9"/>
        <v>36-45</v>
      </c>
      <c r="M642" s="6" t="s">
        <v>205</v>
      </c>
      <c r="N642">
        <v>100</v>
      </c>
      <c r="V642" s="6">
        <v>625</v>
      </c>
      <c r="W642">
        <v>300</v>
      </c>
      <c r="Y642" s="6">
        <v>640</v>
      </c>
      <c r="Z642">
        <v>120</v>
      </c>
      <c r="AB642" s="6">
        <v>626</v>
      </c>
      <c r="AC642">
        <v>4</v>
      </c>
    </row>
    <row r="643" spans="1:29" x14ac:dyDescent="0.25">
      <c r="A643">
        <v>642</v>
      </c>
      <c r="B643" s="1">
        <v>45068</v>
      </c>
      <c r="C643" t="s">
        <v>670</v>
      </c>
      <c r="D643" t="s">
        <v>16</v>
      </c>
      <c r="E643">
        <v>54</v>
      </c>
      <c r="F643" t="s">
        <v>17</v>
      </c>
      <c r="G643">
        <v>4</v>
      </c>
      <c r="H643">
        <v>25</v>
      </c>
      <c r="I643">
        <v>100</v>
      </c>
      <c r="J643" t="str">
        <f t="shared" ref="J643:J706" si="10">IF(AND(E643&gt;=18,E643&lt;=25),"18-25",IF(AND(E643&gt;=26,E643&lt;=35),"26-35",IF(AND(E643&gt;=36,E643&lt;=45),"36-45",IF(AND(E643&gt;=46,E643&lt;=60),"46-60"))))</f>
        <v>46-60</v>
      </c>
      <c r="M643" s="6" t="s">
        <v>244</v>
      </c>
      <c r="N643">
        <v>100</v>
      </c>
      <c r="V643" s="6">
        <v>626</v>
      </c>
      <c r="W643">
        <v>2000</v>
      </c>
      <c r="Y643" s="6">
        <v>641</v>
      </c>
      <c r="Z643">
        <v>300</v>
      </c>
      <c r="AB643" s="6">
        <v>627</v>
      </c>
      <c r="AC643">
        <v>1</v>
      </c>
    </row>
    <row r="644" spans="1:29" x14ac:dyDescent="0.25">
      <c r="A644">
        <v>643</v>
      </c>
      <c r="B644" s="1">
        <v>45193</v>
      </c>
      <c r="C644" t="s">
        <v>671</v>
      </c>
      <c r="D644" t="s">
        <v>16</v>
      </c>
      <c r="E644">
        <v>28</v>
      </c>
      <c r="F644" t="s">
        <v>20</v>
      </c>
      <c r="G644">
        <v>3</v>
      </c>
      <c r="H644">
        <v>30</v>
      </c>
      <c r="I644">
        <v>90</v>
      </c>
      <c r="J644" t="str">
        <f t="shared" si="10"/>
        <v>26-35</v>
      </c>
      <c r="M644" s="6" t="s">
        <v>30</v>
      </c>
      <c r="N644">
        <v>100</v>
      </c>
      <c r="V644" s="6">
        <v>627</v>
      </c>
      <c r="W644">
        <v>50</v>
      </c>
      <c r="Y644" s="6">
        <v>642</v>
      </c>
      <c r="Z644">
        <v>100</v>
      </c>
      <c r="AB644" s="6">
        <v>628</v>
      </c>
      <c r="AC644">
        <v>4</v>
      </c>
    </row>
    <row r="645" spans="1:29" x14ac:dyDescent="0.25">
      <c r="A645">
        <v>644</v>
      </c>
      <c r="B645" s="1">
        <v>45175</v>
      </c>
      <c r="C645" t="s">
        <v>672</v>
      </c>
      <c r="D645" t="s">
        <v>12</v>
      </c>
      <c r="E645">
        <v>23</v>
      </c>
      <c r="F645" t="s">
        <v>13</v>
      </c>
      <c r="G645">
        <v>3</v>
      </c>
      <c r="H645">
        <v>25</v>
      </c>
      <c r="I645">
        <v>75</v>
      </c>
      <c r="J645" t="str">
        <f t="shared" si="10"/>
        <v>18-25</v>
      </c>
      <c r="M645" s="6" t="s">
        <v>42</v>
      </c>
      <c r="N645">
        <v>100</v>
      </c>
      <c r="V645" s="6">
        <v>628</v>
      </c>
      <c r="W645">
        <v>200</v>
      </c>
      <c r="Y645" s="6">
        <v>643</v>
      </c>
      <c r="Z645">
        <v>90</v>
      </c>
      <c r="AB645" s="6">
        <v>629</v>
      </c>
      <c r="AC645">
        <v>2</v>
      </c>
    </row>
    <row r="646" spans="1:29" x14ac:dyDescent="0.25">
      <c r="A646">
        <v>645</v>
      </c>
      <c r="B646" s="1">
        <v>45247</v>
      </c>
      <c r="C646" t="s">
        <v>673</v>
      </c>
      <c r="D646" t="s">
        <v>16</v>
      </c>
      <c r="E646">
        <v>35</v>
      </c>
      <c r="F646" t="s">
        <v>20</v>
      </c>
      <c r="G646">
        <v>4</v>
      </c>
      <c r="H646">
        <v>30</v>
      </c>
      <c r="I646">
        <v>120</v>
      </c>
      <c r="J646" t="str">
        <f t="shared" si="10"/>
        <v>26-35</v>
      </c>
      <c r="M646" s="6" t="s">
        <v>304</v>
      </c>
      <c r="N646">
        <v>100</v>
      </c>
      <c r="V646" s="6">
        <v>629</v>
      </c>
      <c r="W646">
        <v>50</v>
      </c>
      <c r="Y646" s="6">
        <v>644</v>
      </c>
      <c r="Z646">
        <v>75</v>
      </c>
      <c r="AB646" s="6">
        <v>630</v>
      </c>
      <c r="AC646">
        <v>2</v>
      </c>
    </row>
    <row r="647" spans="1:29" x14ac:dyDescent="0.25">
      <c r="A647">
        <v>646</v>
      </c>
      <c r="B647" s="1">
        <v>45049</v>
      </c>
      <c r="C647" t="s">
        <v>674</v>
      </c>
      <c r="D647" t="s">
        <v>12</v>
      </c>
      <c r="E647">
        <v>38</v>
      </c>
      <c r="F647" t="s">
        <v>17</v>
      </c>
      <c r="G647">
        <v>3</v>
      </c>
      <c r="H647">
        <v>30</v>
      </c>
      <c r="I647">
        <v>90</v>
      </c>
      <c r="J647" t="str">
        <f t="shared" si="10"/>
        <v>36-45</v>
      </c>
      <c r="M647" s="6" t="s">
        <v>104</v>
      </c>
      <c r="N647">
        <v>100</v>
      </c>
      <c r="V647" s="6">
        <v>630</v>
      </c>
      <c r="W647">
        <v>100</v>
      </c>
      <c r="Y647" s="6">
        <v>645</v>
      </c>
      <c r="Z647">
        <v>120</v>
      </c>
      <c r="AB647" s="6">
        <v>631</v>
      </c>
      <c r="AC647">
        <v>3</v>
      </c>
    </row>
    <row r="648" spans="1:29" x14ac:dyDescent="0.25">
      <c r="A648">
        <v>647</v>
      </c>
      <c r="B648" s="1">
        <v>45067</v>
      </c>
      <c r="C648" t="s">
        <v>675</v>
      </c>
      <c r="D648" t="s">
        <v>12</v>
      </c>
      <c r="E648">
        <v>59</v>
      </c>
      <c r="F648" t="s">
        <v>17</v>
      </c>
      <c r="G648">
        <v>3</v>
      </c>
      <c r="H648">
        <v>500</v>
      </c>
      <c r="I648">
        <v>1500</v>
      </c>
      <c r="J648" t="str">
        <f t="shared" si="10"/>
        <v>46-60</v>
      </c>
      <c r="M648" s="6" t="s">
        <v>357</v>
      </c>
      <c r="N648">
        <v>100</v>
      </c>
      <c r="V648" s="6">
        <v>631</v>
      </c>
      <c r="W648">
        <v>90</v>
      </c>
      <c r="Y648" s="6">
        <v>646</v>
      </c>
      <c r="Z648">
        <v>90</v>
      </c>
      <c r="AB648" s="6">
        <v>632</v>
      </c>
      <c r="AC648">
        <v>4</v>
      </c>
    </row>
    <row r="649" spans="1:29" x14ac:dyDescent="0.25">
      <c r="A649">
        <v>648</v>
      </c>
      <c r="B649" s="1">
        <v>45152</v>
      </c>
      <c r="C649" t="s">
        <v>676</v>
      </c>
      <c r="D649" t="s">
        <v>12</v>
      </c>
      <c r="E649">
        <v>53</v>
      </c>
      <c r="F649" t="s">
        <v>13</v>
      </c>
      <c r="G649">
        <v>4</v>
      </c>
      <c r="H649">
        <v>300</v>
      </c>
      <c r="I649">
        <v>1200</v>
      </c>
      <c r="J649" t="str">
        <f t="shared" si="10"/>
        <v>46-60</v>
      </c>
      <c r="M649" s="6" t="s">
        <v>105</v>
      </c>
      <c r="N649">
        <v>100</v>
      </c>
      <c r="V649" s="6">
        <v>632</v>
      </c>
      <c r="W649">
        <v>100</v>
      </c>
      <c r="Y649" s="6">
        <v>647</v>
      </c>
      <c r="Z649">
        <v>1500</v>
      </c>
      <c r="AB649" s="6">
        <v>633</v>
      </c>
      <c r="AC649">
        <v>4</v>
      </c>
    </row>
    <row r="650" spans="1:29" x14ac:dyDescent="0.25">
      <c r="A650">
        <v>649</v>
      </c>
      <c r="B650" s="1">
        <v>44966</v>
      </c>
      <c r="C650" t="s">
        <v>677</v>
      </c>
      <c r="D650" t="s">
        <v>16</v>
      </c>
      <c r="E650">
        <v>58</v>
      </c>
      <c r="F650" t="s">
        <v>17</v>
      </c>
      <c r="G650">
        <v>2</v>
      </c>
      <c r="H650">
        <v>300</v>
      </c>
      <c r="I650">
        <v>600</v>
      </c>
      <c r="J650" t="str">
        <f t="shared" si="10"/>
        <v>46-60</v>
      </c>
      <c r="M650" s="6" t="s">
        <v>92</v>
      </c>
      <c r="N650">
        <v>100</v>
      </c>
      <c r="V650" s="6">
        <v>633</v>
      </c>
      <c r="W650">
        <v>120</v>
      </c>
      <c r="Y650" s="6">
        <v>648</v>
      </c>
      <c r="Z650">
        <v>1200</v>
      </c>
      <c r="AB650" s="6">
        <v>634</v>
      </c>
      <c r="AC650">
        <v>4</v>
      </c>
    </row>
    <row r="651" spans="1:29" x14ac:dyDescent="0.25">
      <c r="A651">
        <v>650</v>
      </c>
      <c r="B651" s="1">
        <v>45292</v>
      </c>
      <c r="C651" t="s">
        <v>678</v>
      </c>
      <c r="D651" t="s">
        <v>12</v>
      </c>
      <c r="E651">
        <v>55</v>
      </c>
      <c r="F651" t="s">
        <v>20</v>
      </c>
      <c r="G651">
        <v>1</v>
      </c>
      <c r="H651">
        <v>30</v>
      </c>
      <c r="I651">
        <v>30</v>
      </c>
      <c r="J651" t="str">
        <f t="shared" si="10"/>
        <v>46-60</v>
      </c>
      <c r="M651" s="6" t="s">
        <v>184</v>
      </c>
      <c r="N651">
        <v>100</v>
      </c>
      <c r="V651" s="6">
        <v>634</v>
      </c>
      <c r="W651">
        <v>2000</v>
      </c>
      <c r="Y651" s="6">
        <v>649</v>
      </c>
      <c r="Z651">
        <v>600</v>
      </c>
      <c r="AB651" s="6">
        <v>635</v>
      </c>
      <c r="AC651">
        <v>3</v>
      </c>
    </row>
    <row r="652" spans="1:29" x14ac:dyDescent="0.25">
      <c r="A652">
        <v>651</v>
      </c>
      <c r="B652" s="1">
        <v>45073</v>
      </c>
      <c r="C652" t="s">
        <v>679</v>
      </c>
      <c r="D652" t="s">
        <v>12</v>
      </c>
      <c r="E652">
        <v>51</v>
      </c>
      <c r="F652" t="s">
        <v>17</v>
      </c>
      <c r="G652">
        <v>3</v>
      </c>
      <c r="H652">
        <v>50</v>
      </c>
      <c r="I652">
        <v>150</v>
      </c>
      <c r="J652" t="str">
        <f t="shared" si="10"/>
        <v>46-60</v>
      </c>
      <c r="M652" s="6" t="s">
        <v>253</v>
      </c>
      <c r="N652">
        <v>100</v>
      </c>
      <c r="V652" s="6">
        <v>635</v>
      </c>
      <c r="W652">
        <v>900</v>
      </c>
      <c r="Y652" s="6">
        <v>650</v>
      </c>
      <c r="Z652">
        <v>30</v>
      </c>
      <c r="AB652" s="6">
        <v>636</v>
      </c>
      <c r="AC652">
        <v>3</v>
      </c>
    </row>
    <row r="653" spans="1:29" x14ac:dyDescent="0.25">
      <c r="A653">
        <v>652</v>
      </c>
      <c r="B653" s="1">
        <v>45047</v>
      </c>
      <c r="C653" t="s">
        <v>680</v>
      </c>
      <c r="D653" t="s">
        <v>16</v>
      </c>
      <c r="E653">
        <v>34</v>
      </c>
      <c r="F653" t="s">
        <v>13</v>
      </c>
      <c r="G653">
        <v>2</v>
      </c>
      <c r="H653">
        <v>50</v>
      </c>
      <c r="I653">
        <v>100</v>
      </c>
      <c r="J653" t="str">
        <f t="shared" si="10"/>
        <v>26-35</v>
      </c>
      <c r="M653" s="6" t="s">
        <v>203</v>
      </c>
      <c r="N653">
        <v>100</v>
      </c>
      <c r="V653" s="6">
        <v>636</v>
      </c>
      <c r="W653">
        <v>1500</v>
      </c>
      <c r="Y653" s="6">
        <v>651</v>
      </c>
      <c r="Z653">
        <v>150</v>
      </c>
      <c r="AB653" s="6">
        <v>637</v>
      </c>
      <c r="AC653">
        <v>2</v>
      </c>
    </row>
    <row r="654" spans="1:29" x14ac:dyDescent="0.25">
      <c r="A654">
        <v>653</v>
      </c>
      <c r="B654" s="1">
        <v>45066</v>
      </c>
      <c r="C654" t="s">
        <v>681</v>
      </c>
      <c r="D654" t="s">
        <v>12</v>
      </c>
      <c r="E654">
        <v>54</v>
      </c>
      <c r="F654" t="s">
        <v>17</v>
      </c>
      <c r="G654">
        <v>3</v>
      </c>
      <c r="H654">
        <v>25</v>
      </c>
      <c r="I654">
        <v>75</v>
      </c>
      <c r="J654" t="str">
        <f t="shared" si="10"/>
        <v>46-60</v>
      </c>
      <c r="M654" s="6" t="s">
        <v>981</v>
      </c>
      <c r="N654">
        <v>90</v>
      </c>
      <c r="V654" s="6">
        <v>637</v>
      </c>
      <c r="W654">
        <v>600</v>
      </c>
      <c r="Y654" s="6">
        <v>652</v>
      </c>
      <c r="Z654">
        <v>100</v>
      </c>
      <c r="AB654" s="6">
        <v>638</v>
      </c>
      <c r="AC654">
        <v>1</v>
      </c>
    </row>
    <row r="655" spans="1:29" x14ac:dyDescent="0.25">
      <c r="A655">
        <v>654</v>
      </c>
      <c r="B655" s="1">
        <v>45098</v>
      </c>
      <c r="C655" t="s">
        <v>682</v>
      </c>
      <c r="D655" t="s">
        <v>12</v>
      </c>
      <c r="E655">
        <v>42</v>
      </c>
      <c r="F655" t="s">
        <v>17</v>
      </c>
      <c r="G655">
        <v>3</v>
      </c>
      <c r="H655">
        <v>25</v>
      </c>
      <c r="I655">
        <v>75</v>
      </c>
      <c r="J655" t="str">
        <f t="shared" si="10"/>
        <v>36-45</v>
      </c>
      <c r="M655" s="6" t="s">
        <v>804</v>
      </c>
      <c r="N655">
        <v>90</v>
      </c>
      <c r="V655" s="6">
        <v>638</v>
      </c>
      <c r="W655">
        <v>500</v>
      </c>
      <c r="Y655" s="6">
        <v>653</v>
      </c>
      <c r="Z655">
        <v>75</v>
      </c>
      <c r="AB655" s="6">
        <v>639</v>
      </c>
      <c r="AC655">
        <v>4</v>
      </c>
    </row>
    <row r="656" spans="1:29" x14ac:dyDescent="0.25">
      <c r="A656">
        <v>655</v>
      </c>
      <c r="B656" s="1">
        <v>45090</v>
      </c>
      <c r="C656" t="s">
        <v>683</v>
      </c>
      <c r="D656" t="s">
        <v>16</v>
      </c>
      <c r="E656">
        <v>55</v>
      </c>
      <c r="F656" t="s">
        <v>17</v>
      </c>
      <c r="G656">
        <v>1</v>
      </c>
      <c r="H656">
        <v>500</v>
      </c>
      <c r="I656">
        <v>500</v>
      </c>
      <c r="J656" t="str">
        <f t="shared" si="10"/>
        <v>46-60</v>
      </c>
      <c r="M656" s="6" t="s">
        <v>941</v>
      </c>
      <c r="N656">
        <v>90</v>
      </c>
      <c r="V656" s="6">
        <v>639</v>
      </c>
      <c r="W656">
        <v>200</v>
      </c>
      <c r="Y656" s="6">
        <v>654</v>
      </c>
      <c r="Z656">
        <v>75</v>
      </c>
      <c r="AB656" s="6">
        <v>640</v>
      </c>
      <c r="AC656">
        <v>4</v>
      </c>
    </row>
    <row r="657" spans="1:29" x14ac:dyDescent="0.25">
      <c r="A657">
        <v>656</v>
      </c>
      <c r="B657" s="1">
        <v>45203</v>
      </c>
      <c r="C657" t="s">
        <v>684</v>
      </c>
      <c r="D657" t="s">
        <v>12</v>
      </c>
      <c r="E657">
        <v>29</v>
      </c>
      <c r="F657" t="s">
        <v>13</v>
      </c>
      <c r="G657">
        <v>3</v>
      </c>
      <c r="H657">
        <v>30</v>
      </c>
      <c r="I657">
        <v>90</v>
      </c>
      <c r="J657" t="str">
        <f t="shared" si="10"/>
        <v>26-35</v>
      </c>
      <c r="M657" s="6" t="s">
        <v>889</v>
      </c>
      <c r="N657">
        <v>90</v>
      </c>
      <c r="V657" s="6">
        <v>640</v>
      </c>
      <c r="W657">
        <v>120</v>
      </c>
      <c r="Y657" s="6">
        <v>655</v>
      </c>
      <c r="Z657">
        <v>500</v>
      </c>
      <c r="AB657" s="6">
        <v>641</v>
      </c>
      <c r="AC657">
        <v>1</v>
      </c>
    </row>
    <row r="658" spans="1:29" x14ac:dyDescent="0.25">
      <c r="A658">
        <v>657</v>
      </c>
      <c r="B658" s="1">
        <v>44968</v>
      </c>
      <c r="C658" t="s">
        <v>685</v>
      </c>
      <c r="D658" t="s">
        <v>12</v>
      </c>
      <c r="E658">
        <v>40</v>
      </c>
      <c r="F658" t="s">
        <v>17</v>
      </c>
      <c r="G658">
        <v>1</v>
      </c>
      <c r="H658">
        <v>25</v>
      </c>
      <c r="I658">
        <v>25</v>
      </c>
      <c r="J658" t="str">
        <f t="shared" si="10"/>
        <v>36-45</v>
      </c>
      <c r="M658" s="6" t="s">
        <v>732</v>
      </c>
      <c r="N658">
        <v>90</v>
      </c>
      <c r="V658" s="6">
        <v>641</v>
      </c>
      <c r="W658">
        <v>300</v>
      </c>
      <c r="Y658" s="6">
        <v>656</v>
      </c>
      <c r="Z658">
        <v>90</v>
      </c>
      <c r="AB658" s="6">
        <v>642</v>
      </c>
      <c r="AC658">
        <v>4</v>
      </c>
    </row>
    <row r="659" spans="1:29" x14ac:dyDescent="0.25">
      <c r="A659">
        <v>658</v>
      </c>
      <c r="B659" s="1">
        <v>44997</v>
      </c>
      <c r="C659" t="s">
        <v>686</v>
      </c>
      <c r="D659" t="s">
        <v>12</v>
      </c>
      <c r="E659">
        <v>59</v>
      </c>
      <c r="F659" t="s">
        <v>17</v>
      </c>
      <c r="G659">
        <v>1</v>
      </c>
      <c r="H659">
        <v>25</v>
      </c>
      <c r="I659">
        <v>25</v>
      </c>
      <c r="J659" t="str">
        <f t="shared" si="10"/>
        <v>46-60</v>
      </c>
      <c r="M659" s="6" t="s">
        <v>719</v>
      </c>
      <c r="N659">
        <v>90</v>
      </c>
      <c r="V659" s="6">
        <v>642</v>
      </c>
      <c r="W659">
        <v>100</v>
      </c>
      <c r="Y659" s="6">
        <v>657</v>
      </c>
      <c r="Z659">
        <v>25</v>
      </c>
      <c r="AB659" s="6">
        <v>643</v>
      </c>
      <c r="AC659">
        <v>3</v>
      </c>
    </row>
    <row r="660" spans="1:29" x14ac:dyDescent="0.25">
      <c r="A660">
        <v>659</v>
      </c>
      <c r="B660" s="1">
        <v>45004</v>
      </c>
      <c r="C660" t="s">
        <v>687</v>
      </c>
      <c r="D660" t="s">
        <v>16</v>
      </c>
      <c r="E660">
        <v>39</v>
      </c>
      <c r="F660" t="s">
        <v>20</v>
      </c>
      <c r="G660">
        <v>1</v>
      </c>
      <c r="H660">
        <v>30</v>
      </c>
      <c r="I660">
        <v>30</v>
      </c>
      <c r="J660" t="str">
        <f t="shared" si="10"/>
        <v>36-45</v>
      </c>
      <c r="M660" s="6" t="s">
        <v>774</v>
      </c>
      <c r="N660">
        <v>90</v>
      </c>
      <c r="V660" s="6">
        <v>643</v>
      </c>
      <c r="W660">
        <v>90</v>
      </c>
      <c r="Y660" s="6">
        <v>658</v>
      </c>
      <c r="Z660">
        <v>25</v>
      </c>
      <c r="AB660" s="6">
        <v>644</v>
      </c>
      <c r="AC660">
        <v>3</v>
      </c>
    </row>
    <row r="661" spans="1:29" x14ac:dyDescent="0.25">
      <c r="A661">
        <v>660</v>
      </c>
      <c r="B661" s="1">
        <v>45045</v>
      </c>
      <c r="C661" t="s">
        <v>688</v>
      </c>
      <c r="D661" t="s">
        <v>16</v>
      </c>
      <c r="E661">
        <v>38</v>
      </c>
      <c r="F661" t="s">
        <v>13</v>
      </c>
      <c r="G661">
        <v>2</v>
      </c>
      <c r="H661">
        <v>500</v>
      </c>
      <c r="I661">
        <v>1000</v>
      </c>
      <c r="J661" t="str">
        <f t="shared" si="10"/>
        <v>36-45</v>
      </c>
      <c r="M661" s="6" t="s">
        <v>857</v>
      </c>
      <c r="N661">
        <v>90</v>
      </c>
      <c r="V661" s="6">
        <v>644</v>
      </c>
      <c r="W661">
        <v>75</v>
      </c>
      <c r="Y661" s="6">
        <v>659</v>
      </c>
      <c r="Z661">
        <v>30</v>
      </c>
      <c r="AB661" s="6">
        <v>645</v>
      </c>
      <c r="AC661">
        <v>4</v>
      </c>
    </row>
    <row r="662" spans="1:29" x14ac:dyDescent="0.25">
      <c r="A662">
        <v>661</v>
      </c>
      <c r="B662" s="1">
        <v>45123</v>
      </c>
      <c r="C662" t="s">
        <v>689</v>
      </c>
      <c r="D662" t="s">
        <v>16</v>
      </c>
      <c r="E662">
        <v>44</v>
      </c>
      <c r="F662" t="s">
        <v>17</v>
      </c>
      <c r="G662">
        <v>4</v>
      </c>
      <c r="H662">
        <v>25</v>
      </c>
      <c r="I662">
        <v>100</v>
      </c>
      <c r="J662" t="str">
        <f t="shared" si="10"/>
        <v>36-45</v>
      </c>
      <c r="M662" s="6" t="s">
        <v>943</v>
      </c>
      <c r="N662">
        <v>90</v>
      </c>
      <c r="V662" s="6">
        <v>645</v>
      </c>
      <c r="W662">
        <v>120</v>
      </c>
      <c r="Y662" s="6">
        <v>660</v>
      </c>
      <c r="Z662">
        <v>1000</v>
      </c>
      <c r="AB662" s="6">
        <v>646</v>
      </c>
      <c r="AC662">
        <v>3</v>
      </c>
    </row>
    <row r="663" spans="1:29" x14ac:dyDescent="0.25">
      <c r="A663">
        <v>662</v>
      </c>
      <c r="B663" s="1">
        <v>45282</v>
      </c>
      <c r="C663" t="s">
        <v>690</v>
      </c>
      <c r="D663" t="s">
        <v>12</v>
      </c>
      <c r="E663">
        <v>48</v>
      </c>
      <c r="F663" t="s">
        <v>13</v>
      </c>
      <c r="G663">
        <v>2</v>
      </c>
      <c r="H663">
        <v>500</v>
      </c>
      <c r="I663">
        <v>1000</v>
      </c>
      <c r="J663" t="str">
        <f t="shared" si="10"/>
        <v>46-60</v>
      </c>
      <c r="M663" s="6" t="s">
        <v>1025</v>
      </c>
      <c r="N663">
        <v>90</v>
      </c>
      <c r="V663" s="6">
        <v>646</v>
      </c>
      <c r="W663">
        <v>90</v>
      </c>
      <c r="Y663" s="6">
        <v>661</v>
      </c>
      <c r="Z663">
        <v>100</v>
      </c>
      <c r="AB663" s="6">
        <v>647</v>
      </c>
      <c r="AC663">
        <v>3</v>
      </c>
    </row>
    <row r="664" spans="1:29" x14ac:dyDescent="0.25">
      <c r="A664">
        <v>663</v>
      </c>
      <c r="B664" s="1">
        <v>45005</v>
      </c>
      <c r="C664" t="s">
        <v>691</v>
      </c>
      <c r="D664" t="s">
        <v>12</v>
      </c>
      <c r="E664">
        <v>23</v>
      </c>
      <c r="F664" t="s">
        <v>17</v>
      </c>
      <c r="G664">
        <v>4</v>
      </c>
      <c r="H664">
        <v>300</v>
      </c>
      <c r="I664">
        <v>1200</v>
      </c>
      <c r="J664" t="str">
        <f t="shared" si="10"/>
        <v>18-25</v>
      </c>
      <c r="M664" s="6" t="s">
        <v>1010</v>
      </c>
      <c r="N664">
        <v>90</v>
      </c>
      <c r="V664" s="6">
        <v>647</v>
      </c>
      <c r="W664">
        <v>1500</v>
      </c>
      <c r="Y664" s="6">
        <v>662</v>
      </c>
      <c r="Z664">
        <v>1000</v>
      </c>
      <c r="AB664" s="6">
        <v>648</v>
      </c>
      <c r="AC664">
        <v>4</v>
      </c>
    </row>
    <row r="665" spans="1:29" x14ac:dyDescent="0.25">
      <c r="A665">
        <v>664</v>
      </c>
      <c r="B665" s="1">
        <v>45288</v>
      </c>
      <c r="C665" t="s">
        <v>692</v>
      </c>
      <c r="D665" t="s">
        <v>16</v>
      </c>
      <c r="E665">
        <v>44</v>
      </c>
      <c r="F665" t="s">
        <v>17</v>
      </c>
      <c r="G665">
        <v>4</v>
      </c>
      <c r="H665">
        <v>500</v>
      </c>
      <c r="I665">
        <v>2000</v>
      </c>
      <c r="J665" t="str">
        <f t="shared" si="10"/>
        <v>36-45</v>
      </c>
      <c r="M665" s="6" t="s">
        <v>926</v>
      </c>
      <c r="N665">
        <v>90</v>
      </c>
      <c r="V665" s="6">
        <v>648</v>
      </c>
      <c r="W665">
        <v>1200</v>
      </c>
      <c r="Y665" s="6">
        <v>663</v>
      </c>
      <c r="Z665">
        <v>1200</v>
      </c>
      <c r="AB665" s="6">
        <v>649</v>
      </c>
      <c r="AC665">
        <v>2</v>
      </c>
    </row>
    <row r="666" spans="1:29" x14ac:dyDescent="0.25">
      <c r="A666">
        <v>665</v>
      </c>
      <c r="B666" s="1">
        <v>45036</v>
      </c>
      <c r="C666" t="s">
        <v>693</v>
      </c>
      <c r="D666" t="s">
        <v>12</v>
      </c>
      <c r="E666">
        <v>57</v>
      </c>
      <c r="F666" t="s">
        <v>17</v>
      </c>
      <c r="G666">
        <v>1</v>
      </c>
      <c r="H666">
        <v>50</v>
      </c>
      <c r="I666">
        <v>50</v>
      </c>
      <c r="J666" t="str">
        <f t="shared" si="10"/>
        <v>46-60</v>
      </c>
      <c r="M666" s="6" t="s">
        <v>946</v>
      </c>
      <c r="N666">
        <v>90</v>
      </c>
      <c r="V666" s="6">
        <v>649</v>
      </c>
      <c r="W666">
        <v>600</v>
      </c>
      <c r="Y666" s="6">
        <v>664</v>
      </c>
      <c r="Z666">
        <v>2000</v>
      </c>
      <c r="AB666" s="6">
        <v>650</v>
      </c>
      <c r="AC666">
        <v>1</v>
      </c>
    </row>
    <row r="667" spans="1:29" x14ac:dyDescent="0.25">
      <c r="A667">
        <v>666</v>
      </c>
      <c r="B667" s="1">
        <v>44959</v>
      </c>
      <c r="C667" t="s">
        <v>694</v>
      </c>
      <c r="D667" t="s">
        <v>12</v>
      </c>
      <c r="E667">
        <v>51</v>
      </c>
      <c r="F667" t="s">
        <v>20</v>
      </c>
      <c r="G667">
        <v>3</v>
      </c>
      <c r="H667">
        <v>50</v>
      </c>
      <c r="I667">
        <v>150</v>
      </c>
      <c r="J667" t="str">
        <f t="shared" si="10"/>
        <v>46-60</v>
      </c>
      <c r="M667" s="6" t="s">
        <v>707</v>
      </c>
      <c r="N667">
        <v>90</v>
      </c>
      <c r="V667" s="6">
        <v>650</v>
      </c>
      <c r="W667">
        <v>30</v>
      </c>
      <c r="Y667" s="6">
        <v>665</v>
      </c>
      <c r="Z667">
        <v>50</v>
      </c>
      <c r="AB667" s="6">
        <v>651</v>
      </c>
      <c r="AC667">
        <v>3</v>
      </c>
    </row>
    <row r="668" spans="1:29" x14ac:dyDescent="0.25">
      <c r="A668">
        <v>667</v>
      </c>
      <c r="B668" s="1">
        <v>45139</v>
      </c>
      <c r="C668" t="s">
        <v>695</v>
      </c>
      <c r="D668" t="s">
        <v>16</v>
      </c>
      <c r="E668">
        <v>29</v>
      </c>
      <c r="F668" t="s">
        <v>20</v>
      </c>
      <c r="G668">
        <v>1</v>
      </c>
      <c r="H668">
        <v>500</v>
      </c>
      <c r="I668">
        <v>500</v>
      </c>
      <c r="J668" t="str">
        <f t="shared" si="10"/>
        <v>26-35</v>
      </c>
      <c r="M668" s="6" t="s">
        <v>865</v>
      </c>
      <c r="N668">
        <v>90</v>
      </c>
      <c r="V668" s="6">
        <v>651</v>
      </c>
      <c r="W668">
        <v>150</v>
      </c>
      <c r="Y668" s="6">
        <v>666</v>
      </c>
      <c r="Z668">
        <v>150</v>
      </c>
      <c r="AB668" s="6">
        <v>652</v>
      </c>
      <c r="AC668">
        <v>2</v>
      </c>
    </row>
    <row r="669" spans="1:29" x14ac:dyDescent="0.25">
      <c r="A669">
        <v>668</v>
      </c>
      <c r="B669" s="1">
        <v>45135</v>
      </c>
      <c r="C669" t="s">
        <v>696</v>
      </c>
      <c r="D669" t="s">
        <v>16</v>
      </c>
      <c r="E669">
        <v>62</v>
      </c>
      <c r="F669" t="s">
        <v>20</v>
      </c>
      <c r="G669">
        <v>3</v>
      </c>
      <c r="H669">
        <v>50</v>
      </c>
      <c r="I669">
        <v>150</v>
      </c>
      <c r="J669" t="b">
        <f t="shared" si="10"/>
        <v>0</v>
      </c>
      <c r="M669" s="6" t="s">
        <v>450</v>
      </c>
      <c r="N669">
        <v>90</v>
      </c>
      <c r="V669" s="6">
        <v>652</v>
      </c>
      <c r="W669">
        <v>100</v>
      </c>
      <c r="Y669" s="6">
        <v>667</v>
      </c>
      <c r="Z669">
        <v>500</v>
      </c>
      <c r="AB669" s="6">
        <v>653</v>
      </c>
      <c r="AC669">
        <v>3</v>
      </c>
    </row>
    <row r="670" spans="1:29" x14ac:dyDescent="0.25">
      <c r="A670">
        <v>669</v>
      </c>
      <c r="B670" s="1">
        <v>45096</v>
      </c>
      <c r="C670" t="s">
        <v>697</v>
      </c>
      <c r="D670" t="s">
        <v>12</v>
      </c>
      <c r="E670">
        <v>24</v>
      </c>
      <c r="F670" t="s">
        <v>13</v>
      </c>
      <c r="G670">
        <v>4</v>
      </c>
      <c r="H670">
        <v>300</v>
      </c>
      <c r="I670">
        <v>1200</v>
      </c>
      <c r="J670" t="str">
        <f t="shared" si="10"/>
        <v>18-25</v>
      </c>
      <c r="M670" s="6" t="s">
        <v>674</v>
      </c>
      <c r="N670">
        <v>90</v>
      </c>
      <c r="V670" s="6">
        <v>653</v>
      </c>
      <c r="W670">
        <v>75</v>
      </c>
      <c r="Y670" s="6">
        <v>668</v>
      </c>
      <c r="Z670">
        <v>150</v>
      </c>
      <c r="AB670" s="6">
        <v>654</v>
      </c>
      <c r="AC670">
        <v>3</v>
      </c>
    </row>
    <row r="671" spans="1:29" x14ac:dyDescent="0.25">
      <c r="A671">
        <v>670</v>
      </c>
      <c r="B671" s="1">
        <v>45204</v>
      </c>
      <c r="C671" t="s">
        <v>698</v>
      </c>
      <c r="D671" t="s">
        <v>12</v>
      </c>
      <c r="E671">
        <v>27</v>
      </c>
      <c r="F671" t="s">
        <v>13</v>
      </c>
      <c r="G671">
        <v>1</v>
      </c>
      <c r="H671">
        <v>30</v>
      </c>
      <c r="I671">
        <v>30</v>
      </c>
      <c r="J671" t="str">
        <f t="shared" si="10"/>
        <v>26-35</v>
      </c>
      <c r="M671" s="6" t="s">
        <v>563</v>
      </c>
      <c r="N671">
        <v>90</v>
      </c>
      <c r="V671" s="6">
        <v>654</v>
      </c>
      <c r="W671">
        <v>75</v>
      </c>
      <c r="Y671" s="6">
        <v>669</v>
      </c>
      <c r="Z671">
        <v>1200</v>
      </c>
      <c r="AB671" s="6">
        <v>655</v>
      </c>
      <c r="AC671">
        <v>1</v>
      </c>
    </row>
    <row r="672" spans="1:29" x14ac:dyDescent="0.25">
      <c r="A672">
        <v>671</v>
      </c>
      <c r="B672" s="1">
        <v>45165</v>
      </c>
      <c r="C672" t="s">
        <v>699</v>
      </c>
      <c r="D672" t="s">
        <v>12</v>
      </c>
      <c r="E672">
        <v>62</v>
      </c>
      <c r="F672" t="s">
        <v>20</v>
      </c>
      <c r="G672">
        <v>3</v>
      </c>
      <c r="H672">
        <v>50</v>
      </c>
      <c r="I672">
        <v>150</v>
      </c>
      <c r="J672" t="b">
        <f t="shared" si="10"/>
        <v>0</v>
      </c>
      <c r="M672" s="6" t="s">
        <v>472</v>
      </c>
      <c r="N672">
        <v>90</v>
      </c>
      <c r="V672" s="6">
        <v>655</v>
      </c>
      <c r="W672">
        <v>500</v>
      </c>
      <c r="Y672" s="6">
        <v>670</v>
      </c>
      <c r="Z672">
        <v>30</v>
      </c>
      <c r="AB672" s="6">
        <v>656</v>
      </c>
      <c r="AC672">
        <v>3</v>
      </c>
    </row>
    <row r="673" spans="1:29" x14ac:dyDescent="0.25">
      <c r="A673">
        <v>672</v>
      </c>
      <c r="B673" s="1">
        <v>45139</v>
      </c>
      <c r="C673" t="s">
        <v>700</v>
      </c>
      <c r="D673" t="s">
        <v>16</v>
      </c>
      <c r="E673">
        <v>34</v>
      </c>
      <c r="F673" t="s">
        <v>13</v>
      </c>
      <c r="G673">
        <v>2</v>
      </c>
      <c r="H673">
        <v>50</v>
      </c>
      <c r="I673">
        <v>100</v>
      </c>
      <c r="J673" t="str">
        <f t="shared" si="10"/>
        <v>26-35</v>
      </c>
      <c r="M673" s="6" t="s">
        <v>447</v>
      </c>
      <c r="N673">
        <v>90</v>
      </c>
      <c r="V673" s="6">
        <v>656</v>
      </c>
      <c r="W673">
        <v>90</v>
      </c>
      <c r="Y673" s="6">
        <v>671</v>
      </c>
      <c r="Z673">
        <v>150</v>
      </c>
      <c r="AB673" s="6">
        <v>657</v>
      </c>
      <c r="AC673">
        <v>1</v>
      </c>
    </row>
    <row r="674" spans="1:29" x14ac:dyDescent="0.25">
      <c r="A674">
        <v>673</v>
      </c>
      <c r="B674" s="1">
        <v>44958</v>
      </c>
      <c r="C674" t="s">
        <v>701</v>
      </c>
      <c r="D674" t="s">
        <v>16</v>
      </c>
      <c r="E674">
        <v>43</v>
      </c>
      <c r="F674" t="s">
        <v>17</v>
      </c>
      <c r="G674">
        <v>3</v>
      </c>
      <c r="H674">
        <v>500</v>
      </c>
      <c r="I674">
        <v>1500</v>
      </c>
      <c r="J674" t="str">
        <f t="shared" si="10"/>
        <v>36-45</v>
      </c>
      <c r="M674" s="6" t="s">
        <v>379</v>
      </c>
      <c r="N674">
        <v>90</v>
      </c>
      <c r="V674" s="6">
        <v>657</v>
      </c>
      <c r="W674">
        <v>25</v>
      </c>
      <c r="Y674" s="6">
        <v>672</v>
      </c>
      <c r="Z674">
        <v>100</v>
      </c>
      <c r="AB674" s="6">
        <v>658</v>
      </c>
      <c r="AC674">
        <v>1</v>
      </c>
    </row>
    <row r="675" spans="1:29" x14ac:dyDescent="0.25">
      <c r="A675">
        <v>674</v>
      </c>
      <c r="B675" s="1">
        <v>45032</v>
      </c>
      <c r="C675" t="s">
        <v>702</v>
      </c>
      <c r="D675" t="s">
        <v>16</v>
      </c>
      <c r="E675">
        <v>38</v>
      </c>
      <c r="F675" t="s">
        <v>17</v>
      </c>
      <c r="G675">
        <v>1</v>
      </c>
      <c r="H675">
        <v>300</v>
      </c>
      <c r="I675">
        <v>300</v>
      </c>
      <c r="J675" t="str">
        <f t="shared" si="10"/>
        <v>36-45</v>
      </c>
      <c r="M675" s="6" t="s">
        <v>659</v>
      </c>
      <c r="N675">
        <v>90</v>
      </c>
      <c r="V675" s="6">
        <v>658</v>
      </c>
      <c r="W675">
        <v>25</v>
      </c>
      <c r="Y675" s="6">
        <v>673</v>
      </c>
      <c r="Z675">
        <v>1500</v>
      </c>
      <c r="AB675" s="6">
        <v>659</v>
      </c>
      <c r="AC675">
        <v>1</v>
      </c>
    </row>
    <row r="676" spans="1:29" x14ac:dyDescent="0.25">
      <c r="A676">
        <v>675</v>
      </c>
      <c r="B676" s="1">
        <v>45142</v>
      </c>
      <c r="C676" t="s">
        <v>703</v>
      </c>
      <c r="D676" t="s">
        <v>16</v>
      </c>
      <c r="E676">
        <v>45</v>
      </c>
      <c r="F676" t="s">
        <v>17</v>
      </c>
      <c r="G676">
        <v>2</v>
      </c>
      <c r="H676">
        <v>30</v>
      </c>
      <c r="I676">
        <v>60</v>
      </c>
      <c r="J676" t="str">
        <f t="shared" si="10"/>
        <v>36-45</v>
      </c>
      <c r="M676" s="6" t="s">
        <v>411</v>
      </c>
      <c r="N676">
        <v>90</v>
      </c>
      <c r="V676" s="6">
        <v>659</v>
      </c>
      <c r="W676">
        <v>30</v>
      </c>
      <c r="Y676" s="6">
        <v>674</v>
      </c>
      <c r="Z676">
        <v>300</v>
      </c>
      <c r="AB676" s="6">
        <v>660</v>
      </c>
      <c r="AC676">
        <v>2</v>
      </c>
    </row>
    <row r="677" spans="1:29" x14ac:dyDescent="0.25">
      <c r="A677">
        <v>676</v>
      </c>
      <c r="B677" s="1">
        <v>45126</v>
      </c>
      <c r="C677" t="s">
        <v>704</v>
      </c>
      <c r="D677" t="s">
        <v>12</v>
      </c>
      <c r="E677">
        <v>63</v>
      </c>
      <c r="F677" t="s">
        <v>20</v>
      </c>
      <c r="G677">
        <v>3</v>
      </c>
      <c r="H677">
        <v>500</v>
      </c>
      <c r="I677">
        <v>1500</v>
      </c>
      <c r="J677" t="b">
        <f t="shared" si="10"/>
        <v>0</v>
      </c>
      <c r="M677" s="6" t="s">
        <v>671</v>
      </c>
      <c r="N677">
        <v>90</v>
      </c>
      <c r="V677" s="6">
        <v>660</v>
      </c>
      <c r="W677">
        <v>1000</v>
      </c>
      <c r="Y677" s="6">
        <v>675</v>
      </c>
      <c r="Z677">
        <v>60</v>
      </c>
      <c r="AB677" s="6">
        <v>661</v>
      </c>
      <c r="AC677">
        <v>4</v>
      </c>
    </row>
    <row r="678" spans="1:29" x14ac:dyDescent="0.25">
      <c r="A678">
        <v>677</v>
      </c>
      <c r="B678" s="1">
        <v>45226</v>
      </c>
      <c r="C678" t="s">
        <v>705</v>
      </c>
      <c r="D678" t="s">
        <v>16</v>
      </c>
      <c r="E678">
        <v>19</v>
      </c>
      <c r="F678" t="s">
        <v>13</v>
      </c>
      <c r="G678">
        <v>3</v>
      </c>
      <c r="H678">
        <v>500</v>
      </c>
      <c r="I678">
        <v>1500</v>
      </c>
      <c r="J678" t="str">
        <f t="shared" si="10"/>
        <v>18-25</v>
      </c>
      <c r="M678" s="6" t="s">
        <v>631</v>
      </c>
      <c r="N678">
        <v>90</v>
      </c>
      <c r="V678" s="6">
        <v>661</v>
      </c>
      <c r="W678">
        <v>100</v>
      </c>
      <c r="Y678" s="6">
        <v>676</v>
      </c>
      <c r="Z678">
        <v>1500</v>
      </c>
      <c r="AB678" s="6">
        <v>662</v>
      </c>
      <c r="AC678">
        <v>2</v>
      </c>
    </row>
    <row r="679" spans="1:29" x14ac:dyDescent="0.25">
      <c r="A679">
        <v>678</v>
      </c>
      <c r="B679" s="1">
        <v>45283</v>
      </c>
      <c r="C679" t="s">
        <v>706</v>
      </c>
      <c r="D679" t="s">
        <v>16</v>
      </c>
      <c r="E679">
        <v>60</v>
      </c>
      <c r="F679" t="s">
        <v>20</v>
      </c>
      <c r="G679">
        <v>3</v>
      </c>
      <c r="H679">
        <v>300</v>
      </c>
      <c r="I679">
        <v>900</v>
      </c>
      <c r="J679" t="str">
        <f t="shared" si="10"/>
        <v>46-60</v>
      </c>
      <c r="M679" s="6" t="s">
        <v>684</v>
      </c>
      <c r="N679">
        <v>90</v>
      </c>
      <c r="V679" s="6">
        <v>662</v>
      </c>
      <c r="W679">
        <v>1000</v>
      </c>
      <c r="Y679" s="6">
        <v>677</v>
      </c>
      <c r="Z679">
        <v>1500</v>
      </c>
      <c r="AB679" s="6">
        <v>663</v>
      </c>
      <c r="AC679">
        <v>4</v>
      </c>
    </row>
    <row r="680" spans="1:29" x14ac:dyDescent="0.25">
      <c r="A680">
        <v>679</v>
      </c>
      <c r="B680" s="1">
        <v>44937</v>
      </c>
      <c r="C680" t="s">
        <v>707</v>
      </c>
      <c r="D680" t="s">
        <v>16</v>
      </c>
      <c r="E680">
        <v>18</v>
      </c>
      <c r="F680" t="s">
        <v>13</v>
      </c>
      <c r="G680">
        <v>3</v>
      </c>
      <c r="H680">
        <v>30</v>
      </c>
      <c r="I680">
        <v>90</v>
      </c>
      <c r="J680" t="str">
        <f t="shared" si="10"/>
        <v>18-25</v>
      </c>
      <c r="M680" s="6" t="s">
        <v>641</v>
      </c>
      <c r="N680">
        <v>90</v>
      </c>
      <c r="V680" s="6">
        <v>663</v>
      </c>
      <c r="W680">
        <v>1200</v>
      </c>
      <c r="Y680" s="6">
        <v>678</v>
      </c>
      <c r="Z680">
        <v>900</v>
      </c>
      <c r="AB680" s="6">
        <v>664</v>
      </c>
      <c r="AC680">
        <v>4</v>
      </c>
    </row>
    <row r="681" spans="1:29" x14ac:dyDescent="0.25">
      <c r="A681">
        <v>680</v>
      </c>
      <c r="B681" s="1">
        <v>45221</v>
      </c>
      <c r="C681" t="s">
        <v>708</v>
      </c>
      <c r="D681" t="s">
        <v>16</v>
      </c>
      <c r="E681">
        <v>53</v>
      </c>
      <c r="F681" t="s">
        <v>17</v>
      </c>
      <c r="G681">
        <v>3</v>
      </c>
      <c r="H681">
        <v>300</v>
      </c>
      <c r="I681">
        <v>900</v>
      </c>
      <c r="J681" t="str">
        <f t="shared" si="10"/>
        <v>46-60</v>
      </c>
      <c r="M681" s="6" t="s">
        <v>585</v>
      </c>
      <c r="N681">
        <v>90</v>
      </c>
      <c r="V681" s="6">
        <v>664</v>
      </c>
      <c r="W681">
        <v>2000</v>
      </c>
      <c r="Y681" s="6">
        <v>679</v>
      </c>
      <c r="Z681">
        <v>90</v>
      </c>
      <c r="AB681" s="6">
        <v>665</v>
      </c>
      <c r="AC681">
        <v>1</v>
      </c>
    </row>
    <row r="682" spans="1:29" x14ac:dyDescent="0.25">
      <c r="A682">
        <v>681</v>
      </c>
      <c r="B682" s="1">
        <v>45121</v>
      </c>
      <c r="C682" t="s">
        <v>709</v>
      </c>
      <c r="D682" t="s">
        <v>16</v>
      </c>
      <c r="E682">
        <v>43</v>
      </c>
      <c r="F682" t="s">
        <v>20</v>
      </c>
      <c r="G682">
        <v>2</v>
      </c>
      <c r="H682">
        <v>30</v>
      </c>
      <c r="I682">
        <v>60</v>
      </c>
      <c r="J682" t="str">
        <f t="shared" si="10"/>
        <v>36-45</v>
      </c>
      <c r="M682" s="6" t="s">
        <v>359</v>
      </c>
      <c r="N682">
        <v>90</v>
      </c>
      <c r="V682" s="6">
        <v>665</v>
      </c>
      <c r="W682">
        <v>50</v>
      </c>
      <c r="Y682" s="6">
        <v>680</v>
      </c>
      <c r="Z682">
        <v>900</v>
      </c>
      <c r="AB682" s="6">
        <v>666</v>
      </c>
      <c r="AC682">
        <v>3</v>
      </c>
    </row>
    <row r="683" spans="1:29" x14ac:dyDescent="0.25">
      <c r="A683">
        <v>682</v>
      </c>
      <c r="B683" s="1">
        <v>45171</v>
      </c>
      <c r="C683" t="s">
        <v>710</v>
      </c>
      <c r="D683" t="s">
        <v>12</v>
      </c>
      <c r="E683">
        <v>46</v>
      </c>
      <c r="F683" t="s">
        <v>13</v>
      </c>
      <c r="G683">
        <v>4</v>
      </c>
      <c r="H683">
        <v>300</v>
      </c>
      <c r="I683">
        <v>1200</v>
      </c>
      <c r="J683" t="str">
        <f t="shared" si="10"/>
        <v>46-60</v>
      </c>
      <c r="M683" s="6" t="s">
        <v>331</v>
      </c>
      <c r="N683">
        <v>90</v>
      </c>
      <c r="V683" s="6">
        <v>666</v>
      </c>
      <c r="W683">
        <v>150</v>
      </c>
      <c r="Y683" s="6">
        <v>681</v>
      </c>
      <c r="Z683">
        <v>60</v>
      </c>
      <c r="AB683" s="6">
        <v>667</v>
      </c>
      <c r="AC683">
        <v>1</v>
      </c>
    </row>
    <row r="684" spans="1:29" x14ac:dyDescent="0.25">
      <c r="A684">
        <v>683</v>
      </c>
      <c r="B684" s="1">
        <v>44930</v>
      </c>
      <c r="C684" t="s">
        <v>711</v>
      </c>
      <c r="D684" t="s">
        <v>12</v>
      </c>
      <c r="E684">
        <v>38</v>
      </c>
      <c r="F684" t="s">
        <v>13</v>
      </c>
      <c r="G684">
        <v>2</v>
      </c>
      <c r="H684">
        <v>500</v>
      </c>
      <c r="I684">
        <v>1000</v>
      </c>
      <c r="J684" t="str">
        <f t="shared" si="10"/>
        <v>36-45</v>
      </c>
      <c r="M684" s="6" t="s">
        <v>321</v>
      </c>
      <c r="N684">
        <v>90</v>
      </c>
      <c r="V684" s="6">
        <v>667</v>
      </c>
      <c r="W684">
        <v>500</v>
      </c>
      <c r="Y684" s="6">
        <v>682</v>
      </c>
      <c r="Z684">
        <v>1200</v>
      </c>
      <c r="AB684" s="6">
        <v>668</v>
      </c>
      <c r="AC684">
        <v>3</v>
      </c>
    </row>
    <row r="685" spans="1:29" x14ac:dyDescent="0.25">
      <c r="A685">
        <v>684</v>
      </c>
      <c r="B685" s="1">
        <v>45107</v>
      </c>
      <c r="C685" t="s">
        <v>712</v>
      </c>
      <c r="D685" t="s">
        <v>16</v>
      </c>
      <c r="E685">
        <v>28</v>
      </c>
      <c r="F685" t="s">
        <v>17</v>
      </c>
      <c r="G685">
        <v>2</v>
      </c>
      <c r="H685">
        <v>500</v>
      </c>
      <c r="I685">
        <v>1000</v>
      </c>
      <c r="J685" t="str">
        <f t="shared" si="10"/>
        <v>26-35</v>
      </c>
      <c r="M685" s="6" t="s">
        <v>257</v>
      </c>
      <c r="N685">
        <v>90</v>
      </c>
      <c r="V685" s="6">
        <v>668</v>
      </c>
      <c r="W685">
        <v>150</v>
      </c>
      <c r="Y685" s="6">
        <v>683</v>
      </c>
      <c r="Z685">
        <v>1000</v>
      </c>
      <c r="AB685" s="6">
        <v>669</v>
      </c>
      <c r="AC685">
        <v>4</v>
      </c>
    </row>
    <row r="686" spans="1:29" x14ac:dyDescent="0.25">
      <c r="A686">
        <v>685</v>
      </c>
      <c r="B686" s="1">
        <v>45079</v>
      </c>
      <c r="C686" t="s">
        <v>713</v>
      </c>
      <c r="D686" t="s">
        <v>12</v>
      </c>
      <c r="E686">
        <v>57</v>
      </c>
      <c r="F686" t="s">
        <v>20</v>
      </c>
      <c r="G686">
        <v>2</v>
      </c>
      <c r="H686">
        <v>25</v>
      </c>
      <c r="I686">
        <v>50</v>
      </c>
      <c r="J686" t="str">
        <f t="shared" si="10"/>
        <v>46-60</v>
      </c>
      <c r="M686" s="6" t="s">
        <v>246</v>
      </c>
      <c r="N686">
        <v>90</v>
      </c>
      <c r="V686" s="6">
        <v>669</v>
      </c>
      <c r="W686">
        <v>1200</v>
      </c>
      <c r="Y686" s="6">
        <v>684</v>
      </c>
      <c r="Z686">
        <v>1000</v>
      </c>
      <c r="AB686" s="6">
        <v>670</v>
      </c>
      <c r="AC686">
        <v>1</v>
      </c>
    </row>
    <row r="687" spans="1:29" x14ac:dyDescent="0.25">
      <c r="A687">
        <v>686</v>
      </c>
      <c r="B687" s="1">
        <v>45126</v>
      </c>
      <c r="C687" t="s">
        <v>714</v>
      </c>
      <c r="D687" t="s">
        <v>16</v>
      </c>
      <c r="E687">
        <v>28</v>
      </c>
      <c r="F687" t="s">
        <v>20</v>
      </c>
      <c r="G687">
        <v>4</v>
      </c>
      <c r="H687">
        <v>50</v>
      </c>
      <c r="I687">
        <v>200</v>
      </c>
      <c r="J687" t="str">
        <f t="shared" si="10"/>
        <v>26-35</v>
      </c>
      <c r="M687" s="6" t="s">
        <v>112</v>
      </c>
      <c r="N687">
        <v>90</v>
      </c>
      <c r="V687" s="6">
        <v>670</v>
      </c>
      <c r="W687">
        <v>30</v>
      </c>
      <c r="Y687" s="6">
        <v>685</v>
      </c>
      <c r="Z687">
        <v>50</v>
      </c>
      <c r="AB687" s="6">
        <v>671</v>
      </c>
      <c r="AC687">
        <v>3</v>
      </c>
    </row>
    <row r="688" spans="1:29" x14ac:dyDescent="0.25">
      <c r="A688">
        <v>687</v>
      </c>
      <c r="B688" s="1">
        <v>45141</v>
      </c>
      <c r="C688" t="s">
        <v>715</v>
      </c>
      <c r="D688" t="s">
        <v>16</v>
      </c>
      <c r="E688">
        <v>53</v>
      </c>
      <c r="F688" t="s">
        <v>20</v>
      </c>
      <c r="G688">
        <v>1</v>
      </c>
      <c r="H688">
        <v>300</v>
      </c>
      <c r="I688">
        <v>300</v>
      </c>
      <c r="J688" t="str">
        <f t="shared" si="10"/>
        <v>46-60</v>
      </c>
      <c r="M688" s="6" t="s">
        <v>101</v>
      </c>
      <c r="N688">
        <v>90</v>
      </c>
      <c r="V688" s="6">
        <v>671</v>
      </c>
      <c r="W688">
        <v>150</v>
      </c>
      <c r="Y688" s="6">
        <v>686</v>
      </c>
      <c r="Z688">
        <v>200</v>
      </c>
      <c r="AB688" s="6">
        <v>672</v>
      </c>
      <c r="AC688">
        <v>2</v>
      </c>
    </row>
    <row r="689" spans="1:29" x14ac:dyDescent="0.25">
      <c r="A689">
        <v>688</v>
      </c>
      <c r="B689" s="1">
        <v>45202</v>
      </c>
      <c r="C689" t="s">
        <v>716</v>
      </c>
      <c r="D689" t="s">
        <v>12</v>
      </c>
      <c r="E689">
        <v>56</v>
      </c>
      <c r="F689" t="s">
        <v>17</v>
      </c>
      <c r="G689">
        <v>4</v>
      </c>
      <c r="H689">
        <v>25</v>
      </c>
      <c r="I689">
        <v>100</v>
      </c>
      <c r="J689" t="str">
        <f t="shared" si="10"/>
        <v>46-60</v>
      </c>
      <c r="M689" s="6" t="s">
        <v>114</v>
      </c>
      <c r="N689">
        <v>90</v>
      </c>
      <c r="V689" s="6">
        <v>672</v>
      </c>
      <c r="W689">
        <v>100</v>
      </c>
      <c r="Y689" s="6">
        <v>687</v>
      </c>
      <c r="Z689">
        <v>300</v>
      </c>
      <c r="AB689" s="6">
        <v>673</v>
      </c>
      <c r="AC689">
        <v>3</v>
      </c>
    </row>
    <row r="690" spans="1:29" x14ac:dyDescent="0.25">
      <c r="A690">
        <v>689</v>
      </c>
      <c r="B690" s="1">
        <v>45206</v>
      </c>
      <c r="C690" t="s">
        <v>717</v>
      </c>
      <c r="D690" t="s">
        <v>12</v>
      </c>
      <c r="E690">
        <v>57</v>
      </c>
      <c r="F690" t="s">
        <v>20</v>
      </c>
      <c r="G690">
        <v>2</v>
      </c>
      <c r="H690">
        <v>50</v>
      </c>
      <c r="I690">
        <v>100</v>
      </c>
      <c r="J690" t="str">
        <f t="shared" si="10"/>
        <v>46-60</v>
      </c>
      <c r="M690" s="6" t="s">
        <v>322</v>
      </c>
      <c r="N690">
        <v>90</v>
      </c>
      <c r="V690" s="6">
        <v>673</v>
      </c>
      <c r="W690">
        <v>1500</v>
      </c>
      <c r="Y690" s="6">
        <v>688</v>
      </c>
      <c r="Z690">
        <v>100</v>
      </c>
      <c r="AB690" s="6">
        <v>674</v>
      </c>
      <c r="AC690">
        <v>1</v>
      </c>
    </row>
    <row r="691" spans="1:29" x14ac:dyDescent="0.25">
      <c r="A691">
        <v>690</v>
      </c>
      <c r="B691" s="1">
        <v>45235</v>
      </c>
      <c r="C691" t="s">
        <v>718</v>
      </c>
      <c r="D691" t="s">
        <v>16</v>
      </c>
      <c r="E691">
        <v>52</v>
      </c>
      <c r="F691" t="s">
        <v>17</v>
      </c>
      <c r="G691">
        <v>3</v>
      </c>
      <c r="H691">
        <v>300</v>
      </c>
      <c r="I691">
        <v>900</v>
      </c>
      <c r="J691" t="str">
        <f t="shared" si="10"/>
        <v>46-60</v>
      </c>
      <c r="M691" s="6" t="s">
        <v>273</v>
      </c>
      <c r="N691">
        <v>90</v>
      </c>
      <c r="V691" s="6">
        <v>674</v>
      </c>
      <c r="W691">
        <v>300</v>
      </c>
      <c r="Y691" s="6">
        <v>689</v>
      </c>
      <c r="Z691">
        <v>100</v>
      </c>
      <c r="AB691" s="6">
        <v>675</v>
      </c>
      <c r="AC691">
        <v>2</v>
      </c>
    </row>
    <row r="692" spans="1:29" x14ac:dyDescent="0.25">
      <c r="A692">
        <v>691</v>
      </c>
      <c r="B692" s="1">
        <v>45039</v>
      </c>
      <c r="C692" t="s">
        <v>719</v>
      </c>
      <c r="D692" t="s">
        <v>16</v>
      </c>
      <c r="E692">
        <v>51</v>
      </c>
      <c r="F692" t="s">
        <v>17</v>
      </c>
      <c r="G692">
        <v>3</v>
      </c>
      <c r="H692">
        <v>30</v>
      </c>
      <c r="I692">
        <v>90</v>
      </c>
      <c r="J692" t="str">
        <f t="shared" si="10"/>
        <v>46-60</v>
      </c>
      <c r="M692" s="6" t="s">
        <v>345</v>
      </c>
      <c r="N692">
        <v>90</v>
      </c>
      <c r="V692" s="6">
        <v>675</v>
      </c>
      <c r="W692">
        <v>60</v>
      </c>
      <c r="Y692" s="6">
        <v>690</v>
      </c>
      <c r="Z692">
        <v>900</v>
      </c>
      <c r="AB692" s="6">
        <v>676</v>
      </c>
      <c r="AC692">
        <v>3</v>
      </c>
    </row>
    <row r="693" spans="1:29" x14ac:dyDescent="0.25">
      <c r="A693">
        <v>692</v>
      </c>
      <c r="B693" s="1">
        <v>45176</v>
      </c>
      <c r="C693" t="s">
        <v>720</v>
      </c>
      <c r="D693" t="s">
        <v>16</v>
      </c>
      <c r="E693">
        <v>64</v>
      </c>
      <c r="F693" t="s">
        <v>17</v>
      </c>
      <c r="G693">
        <v>2</v>
      </c>
      <c r="H693">
        <v>50</v>
      </c>
      <c r="I693">
        <v>100</v>
      </c>
      <c r="J693" t="b">
        <f t="shared" si="10"/>
        <v>0</v>
      </c>
      <c r="M693" s="6" t="s">
        <v>154</v>
      </c>
      <c r="N693">
        <v>90</v>
      </c>
      <c r="V693" s="6">
        <v>676</v>
      </c>
      <c r="W693">
        <v>1500</v>
      </c>
      <c r="Y693" s="6">
        <v>691</v>
      </c>
      <c r="Z693">
        <v>90</v>
      </c>
      <c r="AB693" s="6">
        <v>677</v>
      </c>
      <c r="AC693">
        <v>3</v>
      </c>
    </row>
    <row r="694" spans="1:29" x14ac:dyDescent="0.25">
      <c r="A694">
        <v>693</v>
      </c>
      <c r="B694" s="1">
        <v>45039</v>
      </c>
      <c r="C694" t="s">
        <v>721</v>
      </c>
      <c r="D694" t="s">
        <v>12</v>
      </c>
      <c r="E694">
        <v>41</v>
      </c>
      <c r="F694" t="s">
        <v>13</v>
      </c>
      <c r="G694">
        <v>3</v>
      </c>
      <c r="H694">
        <v>500</v>
      </c>
      <c r="I694">
        <v>1500</v>
      </c>
      <c r="J694" t="str">
        <f t="shared" si="10"/>
        <v>36-45</v>
      </c>
      <c r="M694" s="6" t="s">
        <v>247</v>
      </c>
      <c r="N694">
        <v>90</v>
      </c>
      <c r="V694" s="6">
        <v>677</v>
      </c>
      <c r="W694">
        <v>1500</v>
      </c>
      <c r="Y694" s="6">
        <v>692</v>
      </c>
      <c r="Z694">
        <v>100</v>
      </c>
      <c r="AB694" s="6">
        <v>678</v>
      </c>
      <c r="AC694">
        <v>3</v>
      </c>
    </row>
    <row r="695" spans="1:29" x14ac:dyDescent="0.25">
      <c r="A695">
        <v>694</v>
      </c>
      <c r="B695" s="1">
        <v>45066</v>
      </c>
      <c r="C695" t="s">
        <v>722</v>
      </c>
      <c r="D695" t="s">
        <v>16</v>
      </c>
      <c r="E695">
        <v>39</v>
      </c>
      <c r="F695" t="s">
        <v>20</v>
      </c>
      <c r="G695">
        <v>2</v>
      </c>
      <c r="H695">
        <v>25</v>
      </c>
      <c r="I695">
        <v>50</v>
      </c>
      <c r="J695" t="str">
        <f t="shared" si="10"/>
        <v>36-45</v>
      </c>
      <c r="M695" s="6" t="s">
        <v>295</v>
      </c>
      <c r="N695">
        <v>90</v>
      </c>
      <c r="V695" s="6">
        <v>678</v>
      </c>
      <c r="W695">
        <v>900</v>
      </c>
      <c r="Y695" s="6">
        <v>693</v>
      </c>
      <c r="Z695">
        <v>1500</v>
      </c>
      <c r="AB695" s="6">
        <v>679</v>
      </c>
      <c r="AC695">
        <v>3</v>
      </c>
    </row>
    <row r="696" spans="1:29" x14ac:dyDescent="0.25">
      <c r="A696">
        <v>695</v>
      </c>
      <c r="B696" s="1">
        <v>45150</v>
      </c>
      <c r="C696" t="s">
        <v>723</v>
      </c>
      <c r="D696" t="s">
        <v>16</v>
      </c>
      <c r="E696">
        <v>22</v>
      </c>
      <c r="F696" t="s">
        <v>20</v>
      </c>
      <c r="G696">
        <v>3</v>
      </c>
      <c r="H696">
        <v>50</v>
      </c>
      <c r="I696">
        <v>150</v>
      </c>
      <c r="J696" t="str">
        <f t="shared" si="10"/>
        <v>18-25</v>
      </c>
      <c r="M696" s="6" t="s">
        <v>218</v>
      </c>
      <c r="N696">
        <v>90</v>
      </c>
      <c r="V696" s="6">
        <v>679</v>
      </c>
      <c r="W696">
        <v>90</v>
      </c>
      <c r="Y696" s="6">
        <v>694</v>
      </c>
      <c r="Z696">
        <v>50</v>
      </c>
      <c r="AB696" s="6">
        <v>680</v>
      </c>
      <c r="AC696">
        <v>3</v>
      </c>
    </row>
    <row r="697" spans="1:29" x14ac:dyDescent="0.25">
      <c r="A697">
        <v>696</v>
      </c>
      <c r="B697" s="1">
        <v>45175</v>
      </c>
      <c r="C697" t="s">
        <v>724</v>
      </c>
      <c r="D697" t="s">
        <v>16</v>
      </c>
      <c r="E697">
        <v>50</v>
      </c>
      <c r="F697" t="s">
        <v>17</v>
      </c>
      <c r="G697">
        <v>4</v>
      </c>
      <c r="H697">
        <v>50</v>
      </c>
      <c r="I697">
        <v>200</v>
      </c>
      <c r="J697" t="str">
        <f t="shared" si="10"/>
        <v>46-60</v>
      </c>
      <c r="M697" s="6" t="s">
        <v>60</v>
      </c>
      <c r="N697">
        <v>90</v>
      </c>
      <c r="V697" s="6">
        <v>680</v>
      </c>
      <c r="W697">
        <v>900</v>
      </c>
      <c r="Y697" s="6">
        <v>695</v>
      </c>
      <c r="Z697">
        <v>150</v>
      </c>
      <c r="AB697" s="6">
        <v>681</v>
      </c>
      <c r="AC697">
        <v>2</v>
      </c>
    </row>
    <row r="698" spans="1:29" x14ac:dyDescent="0.25">
      <c r="A698">
        <v>697</v>
      </c>
      <c r="B698" s="1">
        <v>44941</v>
      </c>
      <c r="C698" t="s">
        <v>725</v>
      </c>
      <c r="D698" t="s">
        <v>12</v>
      </c>
      <c r="E698">
        <v>53</v>
      </c>
      <c r="F698" t="s">
        <v>17</v>
      </c>
      <c r="G698">
        <v>1</v>
      </c>
      <c r="H698">
        <v>500</v>
      </c>
      <c r="I698">
        <v>500</v>
      </c>
      <c r="J698" t="str">
        <f t="shared" si="10"/>
        <v>46-60</v>
      </c>
      <c r="M698" s="6" t="s">
        <v>948</v>
      </c>
      <c r="N698">
        <v>75</v>
      </c>
      <c r="V698" s="6">
        <v>681</v>
      </c>
      <c r="W698">
        <v>60</v>
      </c>
      <c r="Y698" s="6">
        <v>696</v>
      </c>
      <c r="Z698">
        <v>200</v>
      </c>
      <c r="AB698" s="6">
        <v>682</v>
      </c>
      <c r="AC698">
        <v>4</v>
      </c>
    </row>
    <row r="699" spans="1:29" x14ac:dyDescent="0.25">
      <c r="A699">
        <v>698</v>
      </c>
      <c r="B699" s="1">
        <v>45126</v>
      </c>
      <c r="C699" t="s">
        <v>726</v>
      </c>
      <c r="D699" t="s">
        <v>16</v>
      </c>
      <c r="E699">
        <v>64</v>
      </c>
      <c r="F699" t="s">
        <v>20</v>
      </c>
      <c r="G699">
        <v>1</v>
      </c>
      <c r="H699">
        <v>300</v>
      </c>
      <c r="I699">
        <v>300</v>
      </c>
      <c r="J699" t="b">
        <f t="shared" si="10"/>
        <v>0</v>
      </c>
      <c r="M699" s="6" t="s">
        <v>976</v>
      </c>
      <c r="N699">
        <v>75</v>
      </c>
      <c r="V699" s="6">
        <v>682</v>
      </c>
      <c r="W699">
        <v>1200</v>
      </c>
      <c r="Y699" s="6">
        <v>697</v>
      </c>
      <c r="Z699">
        <v>500</v>
      </c>
      <c r="AB699" s="6">
        <v>683</v>
      </c>
      <c r="AC699">
        <v>2</v>
      </c>
    </row>
    <row r="700" spans="1:29" x14ac:dyDescent="0.25">
      <c r="A700">
        <v>699</v>
      </c>
      <c r="B700" s="1">
        <v>45099</v>
      </c>
      <c r="C700" t="s">
        <v>727</v>
      </c>
      <c r="D700" t="s">
        <v>16</v>
      </c>
      <c r="E700">
        <v>37</v>
      </c>
      <c r="F700" t="s">
        <v>17</v>
      </c>
      <c r="G700">
        <v>4</v>
      </c>
      <c r="H700">
        <v>30</v>
      </c>
      <c r="I700">
        <v>120</v>
      </c>
      <c r="J700" t="str">
        <f t="shared" si="10"/>
        <v>36-45</v>
      </c>
      <c r="M700" s="6" t="s">
        <v>746</v>
      </c>
      <c r="N700">
        <v>75</v>
      </c>
      <c r="V700" s="6">
        <v>683</v>
      </c>
      <c r="W700">
        <v>1000</v>
      </c>
      <c r="Y700" s="6">
        <v>698</v>
      </c>
      <c r="Z700">
        <v>300</v>
      </c>
      <c r="AB700" s="6">
        <v>684</v>
      </c>
      <c r="AC700">
        <v>2</v>
      </c>
    </row>
    <row r="701" spans="1:29" x14ac:dyDescent="0.25">
      <c r="A701">
        <v>700</v>
      </c>
      <c r="B701" s="1">
        <v>45269</v>
      </c>
      <c r="C701" t="s">
        <v>728</v>
      </c>
      <c r="D701" t="s">
        <v>12</v>
      </c>
      <c r="E701">
        <v>36</v>
      </c>
      <c r="F701" t="s">
        <v>20</v>
      </c>
      <c r="G701">
        <v>4</v>
      </c>
      <c r="H701">
        <v>500</v>
      </c>
      <c r="I701">
        <v>2000</v>
      </c>
      <c r="J701" t="str">
        <f t="shared" si="10"/>
        <v>36-45</v>
      </c>
      <c r="M701" s="6" t="s">
        <v>900</v>
      </c>
      <c r="N701">
        <v>75</v>
      </c>
      <c r="V701" s="6">
        <v>684</v>
      </c>
      <c r="W701">
        <v>1000</v>
      </c>
      <c r="Y701" s="6">
        <v>699</v>
      </c>
      <c r="Z701">
        <v>120</v>
      </c>
      <c r="AB701" s="6">
        <v>685</v>
      </c>
      <c r="AC701">
        <v>2</v>
      </c>
    </row>
    <row r="702" spans="1:29" x14ac:dyDescent="0.25">
      <c r="A702">
        <v>701</v>
      </c>
      <c r="B702" s="1">
        <v>45274</v>
      </c>
      <c r="C702" t="s">
        <v>729</v>
      </c>
      <c r="D702" t="s">
        <v>16</v>
      </c>
      <c r="E702">
        <v>52</v>
      </c>
      <c r="F702" t="s">
        <v>13</v>
      </c>
      <c r="G702">
        <v>2</v>
      </c>
      <c r="H702">
        <v>30</v>
      </c>
      <c r="I702">
        <v>60</v>
      </c>
      <c r="J702" t="str">
        <f t="shared" si="10"/>
        <v>46-60</v>
      </c>
      <c r="M702" s="6" t="s">
        <v>1016</v>
      </c>
      <c r="N702">
        <v>75</v>
      </c>
      <c r="V702" s="6">
        <v>685</v>
      </c>
      <c r="W702">
        <v>50</v>
      </c>
      <c r="Y702" s="6">
        <v>700</v>
      </c>
      <c r="Z702">
        <v>2000</v>
      </c>
      <c r="AB702" s="6">
        <v>686</v>
      </c>
      <c r="AC702">
        <v>4</v>
      </c>
    </row>
    <row r="703" spans="1:29" x14ac:dyDescent="0.25">
      <c r="A703">
        <v>702</v>
      </c>
      <c r="B703" s="1">
        <v>45134</v>
      </c>
      <c r="C703" t="s">
        <v>730</v>
      </c>
      <c r="D703" t="s">
        <v>16</v>
      </c>
      <c r="E703">
        <v>60</v>
      </c>
      <c r="F703" t="s">
        <v>17</v>
      </c>
      <c r="G703">
        <v>2</v>
      </c>
      <c r="H703">
        <v>300</v>
      </c>
      <c r="I703">
        <v>600</v>
      </c>
      <c r="J703" t="str">
        <f t="shared" si="10"/>
        <v>46-60</v>
      </c>
      <c r="M703" s="6" t="s">
        <v>825</v>
      </c>
      <c r="N703">
        <v>75</v>
      </c>
      <c r="V703" s="6">
        <v>686</v>
      </c>
      <c r="W703">
        <v>200</v>
      </c>
      <c r="Y703" s="6">
        <v>701</v>
      </c>
      <c r="Z703">
        <v>60</v>
      </c>
      <c r="AB703" s="6">
        <v>687</v>
      </c>
      <c r="AC703">
        <v>1</v>
      </c>
    </row>
    <row r="704" spans="1:29" x14ac:dyDescent="0.25">
      <c r="A704">
        <v>703</v>
      </c>
      <c r="B704" s="1">
        <v>45011</v>
      </c>
      <c r="C704" t="s">
        <v>731</v>
      </c>
      <c r="D704" t="s">
        <v>12</v>
      </c>
      <c r="E704">
        <v>34</v>
      </c>
      <c r="F704" t="s">
        <v>20</v>
      </c>
      <c r="G704">
        <v>2</v>
      </c>
      <c r="H704">
        <v>50</v>
      </c>
      <c r="I704">
        <v>100</v>
      </c>
      <c r="J704" t="str">
        <f t="shared" si="10"/>
        <v>26-35</v>
      </c>
      <c r="M704" s="6" t="s">
        <v>783</v>
      </c>
      <c r="N704">
        <v>75</v>
      </c>
      <c r="V704" s="6">
        <v>687</v>
      </c>
      <c r="W704">
        <v>300</v>
      </c>
      <c r="Y704" s="6">
        <v>702</v>
      </c>
      <c r="Z704">
        <v>600</v>
      </c>
      <c r="AB704" s="6">
        <v>688</v>
      </c>
      <c r="AC704">
        <v>4</v>
      </c>
    </row>
    <row r="705" spans="1:29" x14ac:dyDescent="0.25">
      <c r="A705">
        <v>704</v>
      </c>
      <c r="B705" s="1">
        <v>45166</v>
      </c>
      <c r="C705" t="s">
        <v>732</v>
      </c>
      <c r="D705" t="s">
        <v>16</v>
      </c>
      <c r="E705">
        <v>62</v>
      </c>
      <c r="F705" t="s">
        <v>17</v>
      </c>
      <c r="G705">
        <v>3</v>
      </c>
      <c r="H705">
        <v>30</v>
      </c>
      <c r="I705">
        <v>90</v>
      </c>
      <c r="J705" t="b">
        <f t="shared" si="10"/>
        <v>0</v>
      </c>
      <c r="M705" s="6" t="s">
        <v>843</v>
      </c>
      <c r="N705">
        <v>75</v>
      </c>
      <c r="V705" s="6">
        <v>688</v>
      </c>
      <c r="W705">
        <v>100</v>
      </c>
      <c r="Y705" s="6">
        <v>703</v>
      </c>
      <c r="Z705">
        <v>100</v>
      </c>
      <c r="AB705" s="6">
        <v>689</v>
      </c>
      <c r="AC705">
        <v>2</v>
      </c>
    </row>
    <row r="706" spans="1:29" x14ac:dyDescent="0.25">
      <c r="A706">
        <v>705</v>
      </c>
      <c r="B706" s="1">
        <v>44992</v>
      </c>
      <c r="C706" t="s">
        <v>733</v>
      </c>
      <c r="D706" t="s">
        <v>12</v>
      </c>
      <c r="E706">
        <v>60</v>
      </c>
      <c r="F706" t="s">
        <v>20</v>
      </c>
      <c r="G706">
        <v>2</v>
      </c>
      <c r="H706">
        <v>25</v>
      </c>
      <c r="I706">
        <v>50</v>
      </c>
      <c r="J706" t="str">
        <f t="shared" si="10"/>
        <v>46-60</v>
      </c>
      <c r="M706" s="6" t="s">
        <v>1008</v>
      </c>
      <c r="N706">
        <v>75</v>
      </c>
      <c r="V706" s="6">
        <v>689</v>
      </c>
      <c r="W706">
        <v>100</v>
      </c>
      <c r="Y706" s="6">
        <v>704</v>
      </c>
      <c r="Z706">
        <v>90</v>
      </c>
      <c r="AB706" s="6">
        <v>690</v>
      </c>
      <c r="AC706">
        <v>3</v>
      </c>
    </row>
    <row r="707" spans="1:29" x14ac:dyDescent="0.25">
      <c r="A707">
        <v>706</v>
      </c>
      <c r="B707" s="1">
        <v>45245</v>
      </c>
      <c r="C707" t="s">
        <v>734</v>
      </c>
      <c r="D707" t="s">
        <v>12</v>
      </c>
      <c r="E707">
        <v>51</v>
      </c>
      <c r="F707" t="s">
        <v>20</v>
      </c>
      <c r="G707">
        <v>4</v>
      </c>
      <c r="H707">
        <v>25</v>
      </c>
      <c r="I707">
        <v>100</v>
      </c>
      <c r="J707" t="str">
        <f t="shared" ref="J707:J770" si="11">IF(AND(E707&gt;=18,E707&lt;=25),"18-25",IF(AND(E707&gt;=26,E707&lt;=35),"26-35",IF(AND(E707&gt;=36,E707&lt;=45),"36-45",IF(AND(E707&gt;=46,E707&lt;=60),"46-60"))))</f>
        <v>46-60</v>
      </c>
      <c r="M707" s="6" t="s">
        <v>795</v>
      </c>
      <c r="N707">
        <v>75</v>
      </c>
      <c r="V707" s="6">
        <v>690</v>
      </c>
      <c r="W707">
        <v>900</v>
      </c>
      <c r="Y707" s="6">
        <v>705</v>
      </c>
      <c r="Z707">
        <v>50</v>
      </c>
      <c r="AB707" s="6">
        <v>691</v>
      </c>
      <c r="AC707">
        <v>3</v>
      </c>
    </row>
    <row r="708" spans="1:29" x14ac:dyDescent="0.25">
      <c r="A708">
        <v>707</v>
      </c>
      <c r="B708" s="1">
        <v>45200</v>
      </c>
      <c r="C708" t="s">
        <v>735</v>
      </c>
      <c r="D708" t="s">
        <v>16</v>
      </c>
      <c r="E708">
        <v>26</v>
      </c>
      <c r="F708" t="s">
        <v>17</v>
      </c>
      <c r="G708">
        <v>1</v>
      </c>
      <c r="H708">
        <v>500</v>
      </c>
      <c r="I708">
        <v>500</v>
      </c>
      <c r="J708" t="str">
        <f t="shared" si="11"/>
        <v>26-35</v>
      </c>
      <c r="M708" s="6" t="s">
        <v>876</v>
      </c>
      <c r="N708">
        <v>75</v>
      </c>
      <c r="V708" s="6">
        <v>691</v>
      </c>
      <c r="W708">
        <v>90</v>
      </c>
      <c r="Y708" s="6">
        <v>706</v>
      </c>
      <c r="Z708">
        <v>100</v>
      </c>
      <c r="AB708" s="6">
        <v>692</v>
      </c>
      <c r="AC708">
        <v>2</v>
      </c>
    </row>
    <row r="709" spans="1:29" x14ac:dyDescent="0.25">
      <c r="A709">
        <v>708</v>
      </c>
      <c r="B709" s="1">
        <v>44940</v>
      </c>
      <c r="C709" t="s">
        <v>736</v>
      </c>
      <c r="D709" t="s">
        <v>16</v>
      </c>
      <c r="E709">
        <v>43</v>
      </c>
      <c r="F709" t="s">
        <v>13</v>
      </c>
      <c r="G709">
        <v>3</v>
      </c>
      <c r="H709">
        <v>300</v>
      </c>
      <c r="I709">
        <v>900</v>
      </c>
      <c r="J709" t="str">
        <f t="shared" si="11"/>
        <v>36-45</v>
      </c>
      <c r="M709" s="6" t="s">
        <v>778</v>
      </c>
      <c r="N709">
        <v>75</v>
      </c>
      <c r="V709" s="6">
        <v>692</v>
      </c>
      <c r="W709">
        <v>100</v>
      </c>
      <c r="Y709" s="6">
        <v>707</v>
      </c>
      <c r="Z709">
        <v>500</v>
      </c>
      <c r="AB709" s="6">
        <v>693</v>
      </c>
      <c r="AC709">
        <v>3</v>
      </c>
    </row>
    <row r="710" spans="1:29" x14ac:dyDescent="0.25">
      <c r="A710">
        <v>709</v>
      </c>
      <c r="B710" s="1">
        <v>45128</v>
      </c>
      <c r="C710" t="s">
        <v>737</v>
      </c>
      <c r="D710" t="s">
        <v>16</v>
      </c>
      <c r="E710">
        <v>19</v>
      </c>
      <c r="F710" t="s">
        <v>20</v>
      </c>
      <c r="G710">
        <v>2</v>
      </c>
      <c r="H710">
        <v>500</v>
      </c>
      <c r="I710">
        <v>1000</v>
      </c>
      <c r="J710" t="str">
        <f t="shared" si="11"/>
        <v>18-25</v>
      </c>
      <c r="M710" s="6" t="s">
        <v>957</v>
      </c>
      <c r="N710">
        <v>75</v>
      </c>
      <c r="V710" s="6">
        <v>693</v>
      </c>
      <c r="W710">
        <v>1500</v>
      </c>
      <c r="Y710" s="6">
        <v>708</v>
      </c>
      <c r="Z710">
        <v>900</v>
      </c>
      <c r="AB710" s="6">
        <v>694</v>
      </c>
      <c r="AC710">
        <v>2</v>
      </c>
    </row>
    <row r="711" spans="1:29" x14ac:dyDescent="0.25">
      <c r="A711">
        <v>710</v>
      </c>
      <c r="B711" s="1">
        <v>45230</v>
      </c>
      <c r="C711" t="s">
        <v>738</v>
      </c>
      <c r="D711" t="s">
        <v>16</v>
      </c>
      <c r="E711">
        <v>26</v>
      </c>
      <c r="F711" t="s">
        <v>20</v>
      </c>
      <c r="G711">
        <v>3</v>
      </c>
      <c r="H711">
        <v>500</v>
      </c>
      <c r="I711">
        <v>1500</v>
      </c>
      <c r="J711" t="str">
        <f t="shared" si="11"/>
        <v>26-35</v>
      </c>
      <c r="M711" s="6" t="s">
        <v>840</v>
      </c>
      <c r="N711">
        <v>75</v>
      </c>
      <c r="V711" s="6">
        <v>694</v>
      </c>
      <c r="W711">
        <v>50</v>
      </c>
      <c r="Y711" s="6">
        <v>709</v>
      </c>
      <c r="Z711">
        <v>1000</v>
      </c>
      <c r="AB711" s="6">
        <v>695</v>
      </c>
      <c r="AC711">
        <v>3</v>
      </c>
    </row>
    <row r="712" spans="1:29" x14ac:dyDescent="0.25">
      <c r="A712">
        <v>711</v>
      </c>
      <c r="B712" s="1">
        <v>45215</v>
      </c>
      <c r="C712" t="s">
        <v>739</v>
      </c>
      <c r="D712" t="s">
        <v>12</v>
      </c>
      <c r="E712">
        <v>26</v>
      </c>
      <c r="F712" t="s">
        <v>20</v>
      </c>
      <c r="G712">
        <v>3</v>
      </c>
      <c r="H712">
        <v>500</v>
      </c>
      <c r="I712">
        <v>1500</v>
      </c>
      <c r="J712" t="str">
        <f t="shared" si="11"/>
        <v>26-35</v>
      </c>
      <c r="M712" s="6" t="s">
        <v>949</v>
      </c>
      <c r="N712">
        <v>75</v>
      </c>
      <c r="V712" s="6">
        <v>695</v>
      </c>
      <c r="W712">
        <v>150</v>
      </c>
      <c r="Y712" s="6">
        <v>710</v>
      </c>
      <c r="Z712">
        <v>1500</v>
      </c>
      <c r="AB712" s="6">
        <v>696</v>
      </c>
      <c r="AC712">
        <v>4</v>
      </c>
    </row>
    <row r="713" spans="1:29" x14ac:dyDescent="0.25">
      <c r="A713">
        <v>712</v>
      </c>
      <c r="B713" s="1">
        <v>45266</v>
      </c>
      <c r="C713" t="s">
        <v>740</v>
      </c>
      <c r="D713" t="s">
        <v>16</v>
      </c>
      <c r="E713">
        <v>57</v>
      </c>
      <c r="F713" t="s">
        <v>13</v>
      </c>
      <c r="G713">
        <v>2</v>
      </c>
      <c r="H713">
        <v>25</v>
      </c>
      <c r="I713">
        <v>50</v>
      </c>
      <c r="J713" t="str">
        <f t="shared" si="11"/>
        <v>46-60</v>
      </c>
      <c r="M713" s="6" t="s">
        <v>741</v>
      </c>
      <c r="N713">
        <v>75</v>
      </c>
      <c r="V713" s="6">
        <v>696</v>
      </c>
      <c r="W713">
        <v>200</v>
      </c>
      <c r="Y713" s="6">
        <v>711</v>
      </c>
      <c r="Z713">
        <v>1500</v>
      </c>
      <c r="AB713" s="6">
        <v>697</v>
      </c>
      <c r="AC713">
        <v>1</v>
      </c>
    </row>
    <row r="714" spans="1:29" x14ac:dyDescent="0.25">
      <c r="A714">
        <v>713</v>
      </c>
      <c r="B714" s="1">
        <v>44940</v>
      </c>
      <c r="C714" t="s">
        <v>741</v>
      </c>
      <c r="D714" t="s">
        <v>12</v>
      </c>
      <c r="E714">
        <v>34</v>
      </c>
      <c r="F714" t="s">
        <v>13</v>
      </c>
      <c r="G714">
        <v>3</v>
      </c>
      <c r="H714">
        <v>25</v>
      </c>
      <c r="I714">
        <v>75</v>
      </c>
      <c r="J714" t="str">
        <f t="shared" si="11"/>
        <v>26-35</v>
      </c>
      <c r="M714" s="6" t="s">
        <v>1005</v>
      </c>
      <c r="N714">
        <v>75</v>
      </c>
      <c r="V714" s="6">
        <v>697</v>
      </c>
      <c r="W714">
        <v>500</v>
      </c>
      <c r="Y714" s="6">
        <v>712</v>
      </c>
      <c r="Z714">
        <v>50</v>
      </c>
      <c r="AB714" s="6">
        <v>698</v>
      </c>
      <c r="AC714">
        <v>1</v>
      </c>
    </row>
    <row r="715" spans="1:29" x14ac:dyDescent="0.25">
      <c r="A715">
        <v>714</v>
      </c>
      <c r="B715" s="1">
        <v>44969</v>
      </c>
      <c r="C715" t="s">
        <v>742</v>
      </c>
      <c r="D715" t="s">
        <v>16</v>
      </c>
      <c r="E715">
        <v>18</v>
      </c>
      <c r="F715" t="s">
        <v>17</v>
      </c>
      <c r="G715">
        <v>1</v>
      </c>
      <c r="H715">
        <v>500</v>
      </c>
      <c r="I715">
        <v>500</v>
      </c>
      <c r="J715" t="str">
        <f t="shared" si="11"/>
        <v>18-25</v>
      </c>
      <c r="M715" s="6" t="s">
        <v>796</v>
      </c>
      <c r="N715">
        <v>75</v>
      </c>
      <c r="V715" s="6">
        <v>698</v>
      </c>
      <c r="W715">
        <v>300</v>
      </c>
      <c r="Y715" s="6">
        <v>713</v>
      </c>
      <c r="Z715">
        <v>75</v>
      </c>
      <c r="AB715" s="6">
        <v>699</v>
      </c>
      <c r="AC715">
        <v>4</v>
      </c>
    </row>
    <row r="716" spans="1:29" x14ac:dyDescent="0.25">
      <c r="A716">
        <v>715</v>
      </c>
      <c r="B716" s="1">
        <v>45256</v>
      </c>
      <c r="C716" t="s">
        <v>743</v>
      </c>
      <c r="D716" t="s">
        <v>16</v>
      </c>
      <c r="E716">
        <v>42</v>
      </c>
      <c r="F716" t="s">
        <v>13</v>
      </c>
      <c r="G716">
        <v>4</v>
      </c>
      <c r="H716">
        <v>25</v>
      </c>
      <c r="I716">
        <v>100</v>
      </c>
      <c r="J716" t="str">
        <f t="shared" si="11"/>
        <v>36-45</v>
      </c>
      <c r="M716" s="6" t="s">
        <v>497</v>
      </c>
      <c r="N716">
        <v>75</v>
      </c>
      <c r="V716" s="6">
        <v>699</v>
      </c>
      <c r="W716">
        <v>120</v>
      </c>
      <c r="Y716" s="6">
        <v>714</v>
      </c>
      <c r="Z716">
        <v>500</v>
      </c>
      <c r="AB716" s="6">
        <v>700</v>
      </c>
      <c r="AC716">
        <v>4</v>
      </c>
    </row>
    <row r="717" spans="1:29" x14ac:dyDescent="0.25">
      <c r="A717">
        <v>716</v>
      </c>
      <c r="B717" s="1">
        <v>45146</v>
      </c>
      <c r="C717" t="s">
        <v>744</v>
      </c>
      <c r="D717" t="s">
        <v>16</v>
      </c>
      <c r="E717">
        <v>60</v>
      </c>
      <c r="F717" t="s">
        <v>17</v>
      </c>
      <c r="G717">
        <v>4</v>
      </c>
      <c r="H717">
        <v>300</v>
      </c>
      <c r="I717">
        <v>1200</v>
      </c>
      <c r="J717" t="str">
        <f t="shared" si="11"/>
        <v>46-60</v>
      </c>
      <c r="M717" s="6" t="s">
        <v>682</v>
      </c>
      <c r="N717">
        <v>75</v>
      </c>
      <c r="V717" s="6">
        <v>700</v>
      </c>
      <c r="W717">
        <v>2000</v>
      </c>
      <c r="Y717" s="6">
        <v>715</v>
      </c>
      <c r="Z717">
        <v>100</v>
      </c>
      <c r="AB717" s="6">
        <v>701</v>
      </c>
      <c r="AC717">
        <v>2</v>
      </c>
    </row>
    <row r="718" spans="1:29" x14ac:dyDescent="0.25">
      <c r="A718">
        <v>717</v>
      </c>
      <c r="B718" s="1">
        <v>44996</v>
      </c>
      <c r="C718" t="s">
        <v>745</v>
      </c>
      <c r="D718" t="s">
        <v>12</v>
      </c>
      <c r="E718">
        <v>57</v>
      </c>
      <c r="F718" t="s">
        <v>17</v>
      </c>
      <c r="G718">
        <v>1</v>
      </c>
      <c r="H718">
        <v>500</v>
      </c>
      <c r="I718">
        <v>500</v>
      </c>
      <c r="J718" t="str">
        <f t="shared" si="11"/>
        <v>46-60</v>
      </c>
      <c r="M718" s="6" t="s">
        <v>672</v>
      </c>
      <c r="N718">
        <v>75</v>
      </c>
      <c r="V718" s="6">
        <v>701</v>
      </c>
      <c r="W718">
        <v>60</v>
      </c>
      <c r="Y718" s="6">
        <v>716</v>
      </c>
      <c r="Z718">
        <v>1200</v>
      </c>
      <c r="AB718" s="6">
        <v>702</v>
      </c>
      <c r="AC718">
        <v>2</v>
      </c>
    </row>
    <row r="719" spans="1:29" x14ac:dyDescent="0.25">
      <c r="A719">
        <v>718</v>
      </c>
      <c r="B719" s="1">
        <v>45163</v>
      </c>
      <c r="C719" t="s">
        <v>746</v>
      </c>
      <c r="D719" t="s">
        <v>16</v>
      </c>
      <c r="E719">
        <v>59</v>
      </c>
      <c r="F719" t="s">
        <v>13</v>
      </c>
      <c r="G719">
        <v>3</v>
      </c>
      <c r="H719">
        <v>25</v>
      </c>
      <c r="I719">
        <v>75</v>
      </c>
      <c r="J719" t="str">
        <f t="shared" si="11"/>
        <v>46-60</v>
      </c>
      <c r="M719" s="6" t="s">
        <v>402</v>
      </c>
      <c r="N719">
        <v>75</v>
      </c>
      <c r="V719" s="6">
        <v>702</v>
      </c>
      <c r="W719">
        <v>600</v>
      </c>
      <c r="Y719" s="6">
        <v>717</v>
      </c>
      <c r="Z719">
        <v>500</v>
      </c>
      <c r="AB719" s="6">
        <v>703</v>
      </c>
      <c r="AC719">
        <v>2</v>
      </c>
    </row>
    <row r="720" spans="1:29" x14ac:dyDescent="0.25">
      <c r="A720">
        <v>719</v>
      </c>
      <c r="B720" s="1">
        <v>45020</v>
      </c>
      <c r="C720" t="s">
        <v>747</v>
      </c>
      <c r="D720" t="s">
        <v>16</v>
      </c>
      <c r="E720">
        <v>42</v>
      </c>
      <c r="F720" t="s">
        <v>17</v>
      </c>
      <c r="G720">
        <v>2</v>
      </c>
      <c r="H720">
        <v>30</v>
      </c>
      <c r="I720">
        <v>60</v>
      </c>
      <c r="J720" t="str">
        <f t="shared" si="11"/>
        <v>36-45</v>
      </c>
      <c r="M720" s="6" t="s">
        <v>580</v>
      </c>
      <c r="N720">
        <v>75</v>
      </c>
      <c r="V720" s="6">
        <v>703</v>
      </c>
      <c r="W720">
        <v>100</v>
      </c>
      <c r="Y720" s="6">
        <v>718</v>
      </c>
      <c r="Z720">
        <v>75</v>
      </c>
      <c r="AB720" s="6">
        <v>704</v>
      </c>
      <c r="AC720">
        <v>3</v>
      </c>
    </row>
    <row r="721" spans="1:29" x14ac:dyDescent="0.25">
      <c r="A721">
        <v>720</v>
      </c>
      <c r="B721" s="1">
        <v>44952</v>
      </c>
      <c r="C721" t="s">
        <v>748</v>
      </c>
      <c r="D721" t="s">
        <v>16</v>
      </c>
      <c r="E721">
        <v>56</v>
      </c>
      <c r="F721" t="s">
        <v>13</v>
      </c>
      <c r="G721">
        <v>3</v>
      </c>
      <c r="H721">
        <v>500</v>
      </c>
      <c r="I721">
        <v>1500</v>
      </c>
      <c r="J721" t="str">
        <f t="shared" si="11"/>
        <v>46-60</v>
      </c>
      <c r="M721" s="6" t="s">
        <v>635</v>
      </c>
      <c r="N721">
        <v>75</v>
      </c>
      <c r="V721" s="6">
        <v>704</v>
      </c>
      <c r="W721">
        <v>90</v>
      </c>
      <c r="Y721" s="6">
        <v>719</v>
      </c>
      <c r="Z721">
        <v>60</v>
      </c>
      <c r="AB721" s="6">
        <v>705</v>
      </c>
      <c r="AC721">
        <v>2</v>
      </c>
    </row>
    <row r="722" spans="1:29" x14ac:dyDescent="0.25">
      <c r="A722">
        <v>721</v>
      </c>
      <c r="B722" s="1">
        <v>45060</v>
      </c>
      <c r="C722" t="s">
        <v>749</v>
      </c>
      <c r="D722" t="s">
        <v>16</v>
      </c>
      <c r="E722">
        <v>52</v>
      </c>
      <c r="F722" t="s">
        <v>17</v>
      </c>
      <c r="G722">
        <v>1</v>
      </c>
      <c r="H722">
        <v>500</v>
      </c>
      <c r="I722">
        <v>500</v>
      </c>
      <c r="J722" t="str">
        <f t="shared" si="11"/>
        <v>46-60</v>
      </c>
      <c r="M722" s="6" t="s">
        <v>503</v>
      </c>
      <c r="N722">
        <v>75</v>
      </c>
      <c r="V722" s="6">
        <v>705</v>
      </c>
      <c r="W722">
        <v>50</v>
      </c>
      <c r="Y722" s="6">
        <v>720</v>
      </c>
      <c r="Z722">
        <v>1500</v>
      </c>
      <c r="AB722" s="6">
        <v>706</v>
      </c>
      <c r="AC722">
        <v>4</v>
      </c>
    </row>
    <row r="723" spans="1:29" x14ac:dyDescent="0.25">
      <c r="A723">
        <v>722</v>
      </c>
      <c r="B723" s="1">
        <v>45121</v>
      </c>
      <c r="C723" t="s">
        <v>750</v>
      </c>
      <c r="D723" t="s">
        <v>12</v>
      </c>
      <c r="E723">
        <v>20</v>
      </c>
      <c r="F723" t="s">
        <v>13</v>
      </c>
      <c r="G723">
        <v>3</v>
      </c>
      <c r="H723">
        <v>300</v>
      </c>
      <c r="I723">
        <v>900</v>
      </c>
      <c r="J723" t="str">
        <f t="shared" si="11"/>
        <v>18-25</v>
      </c>
      <c r="M723" s="6" t="s">
        <v>441</v>
      </c>
      <c r="N723">
        <v>75</v>
      </c>
      <c r="V723" s="6">
        <v>706</v>
      </c>
      <c r="W723">
        <v>100</v>
      </c>
      <c r="Y723" s="6">
        <v>721</v>
      </c>
      <c r="Z723">
        <v>500</v>
      </c>
      <c r="AB723" s="6">
        <v>707</v>
      </c>
      <c r="AC723">
        <v>1</v>
      </c>
    </row>
    <row r="724" spans="1:29" x14ac:dyDescent="0.25">
      <c r="A724">
        <v>723</v>
      </c>
      <c r="B724" s="1">
        <v>45094</v>
      </c>
      <c r="C724" t="s">
        <v>751</v>
      </c>
      <c r="D724" t="s">
        <v>16</v>
      </c>
      <c r="E724">
        <v>54</v>
      </c>
      <c r="F724" t="s">
        <v>13</v>
      </c>
      <c r="G724">
        <v>4</v>
      </c>
      <c r="H724">
        <v>50</v>
      </c>
      <c r="I724">
        <v>200</v>
      </c>
      <c r="J724" t="str">
        <f t="shared" si="11"/>
        <v>46-60</v>
      </c>
      <c r="M724" s="6" t="s">
        <v>681</v>
      </c>
      <c r="N724">
        <v>75</v>
      </c>
      <c r="V724" s="6">
        <v>707</v>
      </c>
      <c r="W724">
        <v>500</v>
      </c>
      <c r="Y724" s="6">
        <v>722</v>
      </c>
      <c r="Z724">
        <v>900</v>
      </c>
      <c r="AB724" s="6">
        <v>708</v>
      </c>
      <c r="AC724">
        <v>3</v>
      </c>
    </row>
    <row r="725" spans="1:29" x14ac:dyDescent="0.25">
      <c r="A725">
        <v>724</v>
      </c>
      <c r="B725" s="1">
        <v>45035</v>
      </c>
      <c r="C725" t="s">
        <v>752</v>
      </c>
      <c r="D725" t="s">
        <v>12</v>
      </c>
      <c r="E725">
        <v>61</v>
      </c>
      <c r="F725" t="s">
        <v>17</v>
      </c>
      <c r="G725">
        <v>3</v>
      </c>
      <c r="H725">
        <v>50</v>
      </c>
      <c r="I725">
        <v>150</v>
      </c>
      <c r="J725" t="b">
        <f t="shared" si="11"/>
        <v>0</v>
      </c>
      <c r="M725" s="6" t="s">
        <v>467</v>
      </c>
      <c r="N725">
        <v>75</v>
      </c>
      <c r="V725" s="6">
        <v>708</v>
      </c>
      <c r="W725">
        <v>900</v>
      </c>
      <c r="Y725" s="6">
        <v>723</v>
      </c>
      <c r="Z725">
        <v>200</v>
      </c>
      <c r="AB725" s="6">
        <v>709</v>
      </c>
      <c r="AC725">
        <v>2</v>
      </c>
    </row>
    <row r="726" spans="1:29" x14ac:dyDescent="0.25">
      <c r="A726">
        <v>725</v>
      </c>
      <c r="B726" s="1">
        <v>45159</v>
      </c>
      <c r="C726" t="s">
        <v>753</v>
      </c>
      <c r="D726" t="s">
        <v>12</v>
      </c>
      <c r="E726">
        <v>61</v>
      </c>
      <c r="F726" t="s">
        <v>20</v>
      </c>
      <c r="G726">
        <v>1</v>
      </c>
      <c r="H726">
        <v>300</v>
      </c>
      <c r="I726">
        <v>300</v>
      </c>
      <c r="J726" t="b">
        <f t="shared" si="11"/>
        <v>0</v>
      </c>
      <c r="M726" s="6" t="s">
        <v>385</v>
      </c>
      <c r="N726">
        <v>75</v>
      </c>
      <c r="V726" s="6">
        <v>709</v>
      </c>
      <c r="W726">
        <v>1000</v>
      </c>
      <c r="Y726" s="6">
        <v>724</v>
      </c>
      <c r="Z726">
        <v>150</v>
      </c>
      <c r="AB726" s="6">
        <v>710</v>
      </c>
      <c r="AC726">
        <v>3</v>
      </c>
    </row>
    <row r="727" spans="1:29" x14ac:dyDescent="0.25">
      <c r="A727">
        <v>726</v>
      </c>
      <c r="B727" s="1">
        <v>45094</v>
      </c>
      <c r="C727" t="s">
        <v>754</v>
      </c>
      <c r="D727" t="s">
        <v>12</v>
      </c>
      <c r="E727">
        <v>47</v>
      </c>
      <c r="F727" t="s">
        <v>17</v>
      </c>
      <c r="G727">
        <v>4</v>
      </c>
      <c r="H727">
        <v>300</v>
      </c>
      <c r="I727">
        <v>1200</v>
      </c>
      <c r="J727" t="str">
        <f t="shared" si="11"/>
        <v>46-60</v>
      </c>
      <c r="M727" s="6" t="s">
        <v>648</v>
      </c>
      <c r="N727">
        <v>75</v>
      </c>
      <c r="V727" s="6">
        <v>710</v>
      </c>
      <c r="W727">
        <v>1500</v>
      </c>
      <c r="Y727" s="6">
        <v>725</v>
      </c>
      <c r="Z727">
        <v>300</v>
      </c>
      <c r="AB727" s="6">
        <v>711</v>
      </c>
      <c r="AC727">
        <v>3</v>
      </c>
    </row>
    <row r="728" spans="1:29" x14ac:dyDescent="0.25">
      <c r="A728">
        <v>727</v>
      </c>
      <c r="B728" s="1">
        <v>45099</v>
      </c>
      <c r="C728" t="s">
        <v>755</v>
      </c>
      <c r="D728" t="s">
        <v>12</v>
      </c>
      <c r="E728">
        <v>55</v>
      </c>
      <c r="F728" t="s">
        <v>13</v>
      </c>
      <c r="G728">
        <v>3</v>
      </c>
      <c r="H728">
        <v>300</v>
      </c>
      <c r="I728">
        <v>900</v>
      </c>
      <c r="J728" t="str">
        <f t="shared" si="11"/>
        <v>46-60</v>
      </c>
      <c r="M728" s="6" t="s">
        <v>650</v>
      </c>
      <c r="N728">
        <v>75</v>
      </c>
      <c r="V728" s="6">
        <v>711</v>
      </c>
      <c r="W728">
        <v>1500</v>
      </c>
      <c r="Y728" s="6">
        <v>726</v>
      </c>
      <c r="Z728">
        <v>1200</v>
      </c>
      <c r="AB728" s="6">
        <v>712</v>
      </c>
      <c r="AC728">
        <v>2</v>
      </c>
    </row>
    <row r="729" spans="1:29" x14ac:dyDescent="0.25">
      <c r="A729">
        <v>728</v>
      </c>
      <c r="B729" s="1">
        <v>45121</v>
      </c>
      <c r="C729" t="s">
        <v>756</v>
      </c>
      <c r="D729" t="s">
        <v>12</v>
      </c>
      <c r="E729">
        <v>51</v>
      </c>
      <c r="F729" t="s">
        <v>20</v>
      </c>
      <c r="G729">
        <v>3</v>
      </c>
      <c r="H729">
        <v>50</v>
      </c>
      <c r="I729">
        <v>150</v>
      </c>
      <c r="J729" t="str">
        <f t="shared" si="11"/>
        <v>46-60</v>
      </c>
      <c r="M729" s="6" t="s">
        <v>378</v>
      </c>
      <c r="N729">
        <v>75</v>
      </c>
      <c r="V729" s="6">
        <v>712</v>
      </c>
      <c r="W729">
        <v>50</v>
      </c>
      <c r="Y729" s="6">
        <v>727</v>
      </c>
      <c r="Z729">
        <v>900</v>
      </c>
      <c r="AB729" s="6">
        <v>713</v>
      </c>
      <c r="AC729">
        <v>3</v>
      </c>
    </row>
    <row r="730" spans="1:29" x14ac:dyDescent="0.25">
      <c r="A730">
        <v>729</v>
      </c>
      <c r="B730" s="1">
        <v>45069</v>
      </c>
      <c r="C730" t="s">
        <v>757</v>
      </c>
      <c r="D730" t="s">
        <v>12</v>
      </c>
      <c r="E730">
        <v>29</v>
      </c>
      <c r="F730" t="s">
        <v>17</v>
      </c>
      <c r="G730">
        <v>4</v>
      </c>
      <c r="H730">
        <v>300</v>
      </c>
      <c r="I730">
        <v>1200</v>
      </c>
      <c r="J730" t="str">
        <f t="shared" si="11"/>
        <v>26-35</v>
      </c>
      <c r="M730" s="6" t="s">
        <v>173</v>
      </c>
      <c r="N730">
        <v>75</v>
      </c>
      <c r="V730" s="6">
        <v>713</v>
      </c>
      <c r="W730">
        <v>75</v>
      </c>
      <c r="Y730" s="6">
        <v>728</v>
      </c>
      <c r="Z730">
        <v>150</v>
      </c>
      <c r="AB730" s="6">
        <v>714</v>
      </c>
      <c r="AC730">
        <v>1</v>
      </c>
    </row>
    <row r="731" spans="1:29" x14ac:dyDescent="0.25">
      <c r="A731">
        <v>730</v>
      </c>
      <c r="B731" s="1">
        <v>45142</v>
      </c>
      <c r="C731" t="s">
        <v>758</v>
      </c>
      <c r="D731" t="s">
        <v>16</v>
      </c>
      <c r="E731">
        <v>36</v>
      </c>
      <c r="F731" t="s">
        <v>17</v>
      </c>
      <c r="G731">
        <v>2</v>
      </c>
      <c r="H731">
        <v>25</v>
      </c>
      <c r="I731">
        <v>50</v>
      </c>
      <c r="J731" t="str">
        <f t="shared" si="11"/>
        <v>36-45</v>
      </c>
      <c r="M731" s="6" t="s">
        <v>216</v>
      </c>
      <c r="N731">
        <v>75</v>
      </c>
      <c r="V731" s="6">
        <v>714</v>
      </c>
      <c r="W731">
        <v>500</v>
      </c>
      <c r="Y731" s="6">
        <v>729</v>
      </c>
      <c r="Z731">
        <v>1200</v>
      </c>
      <c r="AB731" s="6">
        <v>715</v>
      </c>
      <c r="AC731">
        <v>4</v>
      </c>
    </row>
    <row r="732" spans="1:29" x14ac:dyDescent="0.25">
      <c r="A732">
        <v>731</v>
      </c>
      <c r="B732" s="1">
        <v>45056</v>
      </c>
      <c r="C732" t="s">
        <v>759</v>
      </c>
      <c r="D732" t="s">
        <v>12</v>
      </c>
      <c r="E732">
        <v>54</v>
      </c>
      <c r="F732" t="s">
        <v>17</v>
      </c>
      <c r="G732">
        <v>4</v>
      </c>
      <c r="H732">
        <v>500</v>
      </c>
      <c r="I732">
        <v>2000</v>
      </c>
      <c r="J732" t="str">
        <f t="shared" si="11"/>
        <v>46-60</v>
      </c>
      <c r="M732" s="6" t="s">
        <v>177</v>
      </c>
      <c r="N732">
        <v>75</v>
      </c>
      <c r="V732" s="6">
        <v>715</v>
      </c>
      <c r="W732">
        <v>100</v>
      </c>
      <c r="Y732" s="6">
        <v>730</v>
      </c>
      <c r="Z732">
        <v>50</v>
      </c>
      <c r="AB732" s="6">
        <v>716</v>
      </c>
      <c r="AC732">
        <v>4</v>
      </c>
    </row>
    <row r="733" spans="1:29" x14ac:dyDescent="0.25">
      <c r="A733">
        <v>732</v>
      </c>
      <c r="B733" s="1">
        <v>44968</v>
      </c>
      <c r="C733" t="s">
        <v>760</v>
      </c>
      <c r="D733" t="s">
        <v>12</v>
      </c>
      <c r="E733">
        <v>61</v>
      </c>
      <c r="F733" t="s">
        <v>20</v>
      </c>
      <c r="G733">
        <v>2</v>
      </c>
      <c r="H733">
        <v>500</v>
      </c>
      <c r="I733">
        <v>1000</v>
      </c>
      <c r="J733" t="b">
        <f t="shared" si="11"/>
        <v>0</v>
      </c>
      <c r="M733" s="6" t="s">
        <v>78</v>
      </c>
      <c r="N733">
        <v>75</v>
      </c>
      <c r="V733" s="6">
        <v>716</v>
      </c>
      <c r="W733">
        <v>1200</v>
      </c>
      <c r="Y733" s="6">
        <v>731</v>
      </c>
      <c r="Z733">
        <v>2000</v>
      </c>
      <c r="AB733" s="6">
        <v>717</v>
      </c>
      <c r="AC733">
        <v>1</v>
      </c>
    </row>
    <row r="734" spans="1:29" x14ac:dyDescent="0.25">
      <c r="A734">
        <v>733</v>
      </c>
      <c r="B734" s="1">
        <v>45167</v>
      </c>
      <c r="C734" t="s">
        <v>761</v>
      </c>
      <c r="D734" t="s">
        <v>12</v>
      </c>
      <c r="E734">
        <v>34</v>
      </c>
      <c r="F734" t="s">
        <v>13</v>
      </c>
      <c r="G734">
        <v>1</v>
      </c>
      <c r="H734">
        <v>30</v>
      </c>
      <c r="I734">
        <v>30</v>
      </c>
      <c r="J734" t="str">
        <f t="shared" si="11"/>
        <v>26-35</v>
      </c>
      <c r="M734" s="6" t="s">
        <v>136</v>
      </c>
      <c r="N734">
        <v>75</v>
      </c>
      <c r="V734" s="6">
        <v>717</v>
      </c>
      <c r="W734">
        <v>500</v>
      </c>
      <c r="Y734" s="6">
        <v>732</v>
      </c>
      <c r="Z734">
        <v>1000</v>
      </c>
      <c r="AB734" s="6">
        <v>718</v>
      </c>
      <c r="AC734">
        <v>3</v>
      </c>
    </row>
    <row r="735" spans="1:29" x14ac:dyDescent="0.25">
      <c r="A735">
        <v>734</v>
      </c>
      <c r="B735" s="1">
        <v>44936</v>
      </c>
      <c r="C735" t="s">
        <v>762</v>
      </c>
      <c r="D735" t="s">
        <v>16</v>
      </c>
      <c r="E735">
        <v>27</v>
      </c>
      <c r="F735" t="s">
        <v>17</v>
      </c>
      <c r="G735">
        <v>1</v>
      </c>
      <c r="H735">
        <v>30</v>
      </c>
      <c r="I735">
        <v>30</v>
      </c>
      <c r="J735" t="str">
        <f t="shared" si="11"/>
        <v>26-35</v>
      </c>
      <c r="M735" s="6" t="s">
        <v>269</v>
      </c>
      <c r="N735">
        <v>75</v>
      </c>
      <c r="V735" s="6">
        <v>718</v>
      </c>
      <c r="W735">
        <v>75</v>
      </c>
      <c r="Y735" s="6">
        <v>733</v>
      </c>
      <c r="Z735">
        <v>30</v>
      </c>
      <c r="AB735" s="6">
        <v>719</v>
      </c>
      <c r="AC735">
        <v>2</v>
      </c>
    </row>
    <row r="736" spans="1:29" x14ac:dyDescent="0.25">
      <c r="A736">
        <v>735</v>
      </c>
      <c r="B736" s="1">
        <v>45203</v>
      </c>
      <c r="C736" t="s">
        <v>763</v>
      </c>
      <c r="D736" t="s">
        <v>16</v>
      </c>
      <c r="E736">
        <v>64</v>
      </c>
      <c r="F736" t="s">
        <v>17</v>
      </c>
      <c r="G736">
        <v>4</v>
      </c>
      <c r="H736">
        <v>500</v>
      </c>
      <c r="I736">
        <v>2000</v>
      </c>
      <c r="J736" t="b">
        <f t="shared" si="11"/>
        <v>0</v>
      </c>
      <c r="M736" s="6" t="s">
        <v>65</v>
      </c>
      <c r="N736">
        <v>75</v>
      </c>
      <c r="V736" s="6">
        <v>719</v>
      </c>
      <c r="W736">
        <v>60</v>
      </c>
      <c r="Y736" s="6">
        <v>734</v>
      </c>
      <c r="Z736">
        <v>30</v>
      </c>
      <c r="AB736" s="6">
        <v>720</v>
      </c>
      <c r="AC736">
        <v>3</v>
      </c>
    </row>
    <row r="737" spans="1:29" x14ac:dyDescent="0.25">
      <c r="A737">
        <v>736</v>
      </c>
      <c r="B737" s="1">
        <v>44953</v>
      </c>
      <c r="C737" t="s">
        <v>764</v>
      </c>
      <c r="D737" t="s">
        <v>12</v>
      </c>
      <c r="E737">
        <v>29</v>
      </c>
      <c r="F737" t="s">
        <v>17</v>
      </c>
      <c r="G737">
        <v>4</v>
      </c>
      <c r="H737">
        <v>25</v>
      </c>
      <c r="I737">
        <v>100</v>
      </c>
      <c r="J737" t="str">
        <f t="shared" si="11"/>
        <v>26-35</v>
      </c>
      <c r="M737" s="6" t="s">
        <v>79</v>
      </c>
      <c r="N737">
        <v>75</v>
      </c>
      <c r="V737" s="6">
        <v>720</v>
      </c>
      <c r="W737">
        <v>1500</v>
      </c>
      <c r="Y737" s="6">
        <v>735</v>
      </c>
      <c r="Z737">
        <v>2000</v>
      </c>
      <c r="AB737" s="6">
        <v>721</v>
      </c>
      <c r="AC737">
        <v>1</v>
      </c>
    </row>
    <row r="738" spans="1:29" x14ac:dyDescent="0.25">
      <c r="A738">
        <v>737</v>
      </c>
      <c r="B738" s="1">
        <v>45106</v>
      </c>
      <c r="C738" t="s">
        <v>765</v>
      </c>
      <c r="D738" t="s">
        <v>16</v>
      </c>
      <c r="E738">
        <v>33</v>
      </c>
      <c r="F738" t="s">
        <v>17</v>
      </c>
      <c r="G738">
        <v>1</v>
      </c>
      <c r="H738">
        <v>50</v>
      </c>
      <c r="I738">
        <v>50</v>
      </c>
      <c r="J738" t="str">
        <f t="shared" si="11"/>
        <v>26-35</v>
      </c>
      <c r="M738" s="6" t="s">
        <v>354</v>
      </c>
      <c r="N738">
        <v>75</v>
      </c>
      <c r="V738" s="6">
        <v>721</v>
      </c>
      <c r="W738">
        <v>500</v>
      </c>
      <c r="Y738" s="6">
        <v>736</v>
      </c>
      <c r="Z738">
        <v>100</v>
      </c>
      <c r="AB738" s="6">
        <v>722</v>
      </c>
      <c r="AC738">
        <v>3</v>
      </c>
    </row>
    <row r="739" spans="1:29" x14ac:dyDescent="0.25">
      <c r="A739">
        <v>738</v>
      </c>
      <c r="B739" s="1">
        <v>45041</v>
      </c>
      <c r="C739" t="s">
        <v>766</v>
      </c>
      <c r="D739" t="s">
        <v>12</v>
      </c>
      <c r="E739">
        <v>41</v>
      </c>
      <c r="F739" t="s">
        <v>17</v>
      </c>
      <c r="G739">
        <v>2</v>
      </c>
      <c r="H739">
        <v>50</v>
      </c>
      <c r="I739">
        <v>100</v>
      </c>
      <c r="J739" t="str">
        <f t="shared" si="11"/>
        <v>36-45</v>
      </c>
      <c r="M739" s="6" t="s">
        <v>35</v>
      </c>
      <c r="N739">
        <v>75</v>
      </c>
      <c r="V739" s="6">
        <v>722</v>
      </c>
      <c r="W739">
        <v>900</v>
      </c>
      <c r="Y739" s="6">
        <v>737</v>
      </c>
      <c r="Z739">
        <v>50</v>
      </c>
      <c r="AB739" s="6">
        <v>723</v>
      </c>
      <c r="AC739">
        <v>4</v>
      </c>
    </row>
    <row r="740" spans="1:29" x14ac:dyDescent="0.25">
      <c r="A740">
        <v>739</v>
      </c>
      <c r="B740" s="1">
        <v>45259</v>
      </c>
      <c r="C740" t="s">
        <v>767</v>
      </c>
      <c r="D740" t="s">
        <v>12</v>
      </c>
      <c r="E740">
        <v>36</v>
      </c>
      <c r="F740" t="s">
        <v>13</v>
      </c>
      <c r="G740">
        <v>1</v>
      </c>
      <c r="H740">
        <v>25</v>
      </c>
      <c r="I740">
        <v>25</v>
      </c>
      <c r="J740" t="str">
        <f t="shared" si="11"/>
        <v>36-45</v>
      </c>
      <c r="M740" s="6" t="s">
        <v>97</v>
      </c>
      <c r="N740">
        <v>75</v>
      </c>
      <c r="V740" s="6">
        <v>723</v>
      </c>
      <c r="W740">
        <v>200</v>
      </c>
      <c r="Y740" s="6">
        <v>738</v>
      </c>
      <c r="Z740">
        <v>100</v>
      </c>
      <c r="AB740" s="6">
        <v>724</v>
      </c>
      <c r="AC740">
        <v>3</v>
      </c>
    </row>
    <row r="741" spans="1:29" x14ac:dyDescent="0.25">
      <c r="A741">
        <v>740</v>
      </c>
      <c r="B741" s="1">
        <v>44962</v>
      </c>
      <c r="C741" t="s">
        <v>768</v>
      </c>
      <c r="D741" t="s">
        <v>16</v>
      </c>
      <c r="E741">
        <v>25</v>
      </c>
      <c r="F741" t="s">
        <v>13</v>
      </c>
      <c r="G741">
        <v>4</v>
      </c>
      <c r="H741">
        <v>50</v>
      </c>
      <c r="I741">
        <v>200</v>
      </c>
      <c r="J741" t="str">
        <f t="shared" si="11"/>
        <v>18-25</v>
      </c>
      <c r="M741" s="6" t="s">
        <v>747</v>
      </c>
      <c r="N741">
        <v>60</v>
      </c>
      <c r="V741" s="6">
        <v>724</v>
      </c>
      <c r="W741">
        <v>150</v>
      </c>
      <c r="Y741" s="6">
        <v>739</v>
      </c>
      <c r="Z741">
        <v>25</v>
      </c>
      <c r="AB741" s="6">
        <v>725</v>
      </c>
      <c r="AC741">
        <v>1</v>
      </c>
    </row>
    <row r="742" spans="1:29" x14ac:dyDescent="0.25">
      <c r="A742">
        <v>741</v>
      </c>
      <c r="B742" s="1">
        <v>45260</v>
      </c>
      <c r="C742" t="s">
        <v>769</v>
      </c>
      <c r="D742" t="s">
        <v>12</v>
      </c>
      <c r="E742">
        <v>48</v>
      </c>
      <c r="F742" t="s">
        <v>17</v>
      </c>
      <c r="G742">
        <v>1</v>
      </c>
      <c r="H742">
        <v>300</v>
      </c>
      <c r="I742">
        <v>300</v>
      </c>
      <c r="J742" t="str">
        <f t="shared" si="11"/>
        <v>46-60</v>
      </c>
      <c r="M742" s="6" t="s">
        <v>988</v>
      </c>
      <c r="N742">
        <v>60</v>
      </c>
      <c r="V742" s="6">
        <v>725</v>
      </c>
      <c r="W742">
        <v>300</v>
      </c>
      <c r="Y742" s="6">
        <v>740</v>
      </c>
      <c r="Z742">
        <v>200</v>
      </c>
      <c r="AB742" s="6">
        <v>726</v>
      </c>
      <c r="AC742">
        <v>4</v>
      </c>
    </row>
    <row r="743" spans="1:29" x14ac:dyDescent="0.25">
      <c r="A743">
        <v>742</v>
      </c>
      <c r="B743" s="1">
        <v>44947</v>
      </c>
      <c r="C743" t="s">
        <v>770</v>
      </c>
      <c r="D743" t="s">
        <v>16</v>
      </c>
      <c r="E743">
        <v>38</v>
      </c>
      <c r="F743" t="s">
        <v>20</v>
      </c>
      <c r="G743">
        <v>4</v>
      </c>
      <c r="H743">
        <v>500</v>
      </c>
      <c r="I743">
        <v>2000</v>
      </c>
      <c r="J743" t="str">
        <f t="shared" si="11"/>
        <v>36-45</v>
      </c>
      <c r="M743" s="6" t="s">
        <v>709</v>
      </c>
      <c r="N743">
        <v>60</v>
      </c>
      <c r="V743" s="6">
        <v>726</v>
      </c>
      <c r="W743">
        <v>1200</v>
      </c>
      <c r="Y743" s="6">
        <v>741</v>
      </c>
      <c r="Z743">
        <v>300</v>
      </c>
      <c r="AB743" s="6">
        <v>727</v>
      </c>
      <c r="AC743">
        <v>3</v>
      </c>
    </row>
    <row r="744" spans="1:29" x14ac:dyDescent="0.25">
      <c r="A744">
        <v>743</v>
      </c>
      <c r="B744" s="1">
        <v>44942</v>
      </c>
      <c r="C744" t="s">
        <v>771</v>
      </c>
      <c r="D744" t="s">
        <v>16</v>
      </c>
      <c r="E744">
        <v>34</v>
      </c>
      <c r="F744" t="s">
        <v>13</v>
      </c>
      <c r="G744">
        <v>4</v>
      </c>
      <c r="H744">
        <v>500</v>
      </c>
      <c r="I744">
        <v>2000</v>
      </c>
      <c r="J744" t="str">
        <f t="shared" si="11"/>
        <v>26-35</v>
      </c>
      <c r="M744" s="6" t="s">
        <v>990</v>
      </c>
      <c r="N744">
        <v>60</v>
      </c>
      <c r="V744" s="6">
        <v>727</v>
      </c>
      <c r="W744">
        <v>900</v>
      </c>
      <c r="Y744" s="6">
        <v>742</v>
      </c>
      <c r="Z744">
        <v>2000</v>
      </c>
      <c r="AB744" s="6">
        <v>728</v>
      </c>
      <c r="AC744">
        <v>3</v>
      </c>
    </row>
    <row r="745" spans="1:29" x14ac:dyDescent="0.25">
      <c r="A745">
        <v>744</v>
      </c>
      <c r="B745" s="1">
        <v>45053</v>
      </c>
      <c r="C745" t="s">
        <v>772</v>
      </c>
      <c r="D745" t="s">
        <v>12</v>
      </c>
      <c r="E745">
        <v>40</v>
      </c>
      <c r="F745" t="s">
        <v>20</v>
      </c>
      <c r="G745">
        <v>1</v>
      </c>
      <c r="H745">
        <v>25</v>
      </c>
      <c r="I745">
        <v>25</v>
      </c>
      <c r="J745" t="str">
        <f t="shared" si="11"/>
        <v>36-45</v>
      </c>
      <c r="M745" s="6" t="s">
        <v>899</v>
      </c>
      <c r="N745">
        <v>60</v>
      </c>
      <c r="V745" s="6">
        <v>728</v>
      </c>
      <c r="W745">
        <v>150</v>
      </c>
      <c r="Y745" s="6">
        <v>743</v>
      </c>
      <c r="Z745">
        <v>2000</v>
      </c>
      <c r="AB745" s="6">
        <v>729</v>
      </c>
      <c r="AC745">
        <v>4</v>
      </c>
    </row>
    <row r="746" spans="1:29" x14ac:dyDescent="0.25">
      <c r="A746">
        <v>745</v>
      </c>
      <c r="B746" s="1">
        <v>45029</v>
      </c>
      <c r="C746" t="s">
        <v>773</v>
      </c>
      <c r="D746" t="s">
        <v>12</v>
      </c>
      <c r="E746">
        <v>54</v>
      </c>
      <c r="F746" t="s">
        <v>13</v>
      </c>
      <c r="G746">
        <v>2</v>
      </c>
      <c r="H746">
        <v>50</v>
      </c>
      <c r="I746">
        <v>100</v>
      </c>
      <c r="J746" t="str">
        <f t="shared" si="11"/>
        <v>46-60</v>
      </c>
      <c r="M746" s="6" t="s">
        <v>703</v>
      </c>
      <c r="N746">
        <v>60</v>
      </c>
      <c r="V746" s="6">
        <v>729</v>
      </c>
      <c r="W746">
        <v>1200</v>
      </c>
      <c r="Y746" s="6">
        <v>744</v>
      </c>
      <c r="Z746">
        <v>25</v>
      </c>
      <c r="AB746" s="6">
        <v>730</v>
      </c>
      <c r="AC746">
        <v>2</v>
      </c>
    </row>
    <row r="747" spans="1:29" x14ac:dyDescent="0.25">
      <c r="A747">
        <v>746</v>
      </c>
      <c r="B747" s="1">
        <v>44937</v>
      </c>
      <c r="C747" t="s">
        <v>774</v>
      </c>
      <c r="D747" t="s">
        <v>16</v>
      </c>
      <c r="E747">
        <v>33</v>
      </c>
      <c r="F747" t="s">
        <v>17</v>
      </c>
      <c r="G747">
        <v>3</v>
      </c>
      <c r="H747">
        <v>30</v>
      </c>
      <c r="I747">
        <v>90</v>
      </c>
      <c r="J747" t="str">
        <f t="shared" si="11"/>
        <v>26-35</v>
      </c>
      <c r="M747" s="6" t="s">
        <v>1020</v>
      </c>
      <c r="N747">
        <v>60</v>
      </c>
      <c r="V747" s="6">
        <v>730</v>
      </c>
      <c r="W747">
        <v>50</v>
      </c>
      <c r="Y747" s="6">
        <v>745</v>
      </c>
      <c r="Z747">
        <v>100</v>
      </c>
      <c r="AB747" s="6">
        <v>731</v>
      </c>
      <c r="AC747">
        <v>4</v>
      </c>
    </row>
    <row r="748" spans="1:29" x14ac:dyDescent="0.25">
      <c r="A748">
        <v>747</v>
      </c>
      <c r="B748" s="1">
        <v>45245</v>
      </c>
      <c r="C748" t="s">
        <v>775</v>
      </c>
      <c r="D748" t="s">
        <v>12</v>
      </c>
      <c r="E748">
        <v>23</v>
      </c>
      <c r="F748" t="s">
        <v>13</v>
      </c>
      <c r="G748">
        <v>1</v>
      </c>
      <c r="H748">
        <v>30</v>
      </c>
      <c r="I748">
        <v>30</v>
      </c>
      <c r="J748" t="str">
        <f t="shared" si="11"/>
        <v>18-25</v>
      </c>
      <c r="M748" s="6" t="s">
        <v>1009</v>
      </c>
      <c r="N748">
        <v>60</v>
      </c>
      <c r="V748" s="6">
        <v>731</v>
      </c>
      <c r="W748">
        <v>2000</v>
      </c>
      <c r="Y748" s="6">
        <v>746</v>
      </c>
      <c r="Z748">
        <v>90</v>
      </c>
      <c r="AB748" s="6">
        <v>732</v>
      </c>
      <c r="AC748">
        <v>2</v>
      </c>
    </row>
    <row r="749" spans="1:29" x14ac:dyDescent="0.25">
      <c r="A749">
        <v>748</v>
      </c>
      <c r="B749" s="1">
        <v>45005</v>
      </c>
      <c r="C749" t="s">
        <v>776</v>
      </c>
      <c r="D749" t="s">
        <v>12</v>
      </c>
      <c r="E749">
        <v>25</v>
      </c>
      <c r="F749" t="s">
        <v>17</v>
      </c>
      <c r="G749">
        <v>3</v>
      </c>
      <c r="H749">
        <v>50</v>
      </c>
      <c r="I749">
        <v>150</v>
      </c>
      <c r="J749" t="str">
        <f t="shared" si="11"/>
        <v>18-25</v>
      </c>
      <c r="M749" s="6" t="s">
        <v>987</v>
      </c>
      <c r="N749">
        <v>60</v>
      </c>
      <c r="V749" s="6">
        <v>732</v>
      </c>
      <c r="W749">
        <v>1000</v>
      </c>
      <c r="Y749" s="6">
        <v>747</v>
      </c>
      <c r="Z749">
        <v>30</v>
      </c>
      <c r="AB749" s="6">
        <v>733</v>
      </c>
      <c r="AC749">
        <v>1</v>
      </c>
    </row>
    <row r="750" spans="1:29" x14ac:dyDescent="0.25">
      <c r="A750">
        <v>749</v>
      </c>
      <c r="B750" s="1">
        <v>45049</v>
      </c>
      <c r="C750" t="s">
        <v>777</v>
      </c>
      <c r="D750" t="s">
        <v>12</v>
      </c>
      <c r="E750">
        <v>42</v>
      </c>
      <c r="F750" t="s">
        <v>13</v>
      </c>
      <c r="G750">
        <v>1</v>
      </c>
      <c r="H750">
        <v>30</v>
      </c>
      <c r="I750">
        <v>30</v>
      </c>
      <c r="J750" t="str">
        <f t="shared" si="11"/>
        <v>36-45</v>
      </c>
      <c r="M750" s="6" t="s">
        <v>912</v>
      </c>
      <c r="N750">
        <v>60</v>
      </c>
      <c r="V750" s="6">
        <v>733</v>
      </c>
      <c r="W750">
        <v>30</v>
      </c>
      <c r="Y750" s="6">
        <v>748</v>
      </c>
      <c r="Z750">
        <v>150</v>
      </c>
      <c r="AB750" s="6">
        <v>734</v>
      </c>
      <c r="AC750">
        <v>1</v>
      </c>
    </row>
    <row r="751" spans="1:29" x14ac:dyDescent="0.25">
      <c r="A751">
        <v>750</v>
      </c>
      <c r="B751" s="1">
        <v>44991</v>
      </c>
      <c r="C751" t="s">
        <v>778</v>
      </c>
      <c r="D751" t="s">
        <v>16</v>
      </c>
      <c r="E751">
        <v>35</v>
      </c>
      <c r="F751" t="s">
        <v>17</v>
      </c>
      <c r="G751">
        <v>3</v>
      </c>
      <c r="H751">
        <v>25</v>
      </c>
      <c r="I751">
        <v>75</v>
      </c>
      <c r="J751" t="str">
        <f t="shared" si="11"/>
        <v>26-35</v>
      </c>
      <c r="M751" s="6" t="s">
        <v>729</v>
      </c>
      <c r="N751">
        <v>60</v>
      </c>
      <c r="V751" s="6">
        <v>734</v>
      </c>
      <c r="W751">
        <v>30</v>
      </c>
      <c r="Y751" s="6">
        <v>749</v>
      </c>
      <c r="Z751">
        <v>30</v>
      </c>
      <c r="AB751" s="6">
        <v>735</v>
      </c>
      <c r="AC751">
        <v>4</v>
      </c>
    </row>
    <row r="752" spans="1:29" x14ac:dyDescent="0.25">
      <c r="A752">
        <v>751</v>
      </c>
      <c r="B752" s="1">
        <v>45169</v>
      </c>
      <c r="C752" t="s">
        <v>779</v>
      </c>
      <c r="D752" t="s">
        <v>16</v>
      </c>
      <c r="E752">
        <v>42</v>
      </c>
      <c r="F752" t="s">
        <v>17</v>
      </c>
      <c r="G752">
        <v>2</v>
      </c>
      <c r="H752">
        <v>25</v>
      </c>
      <c r="I752">
        <v>50</v>
      </c>
      <c r="J752" t="str">
        <f t="shared" si="11"/>
        <v>36-45</v>
      </c>
      <c r="M752" s="6" t="s">
        <v>862</v>
      </c>
      <c r="N752">
        <v>60</v>
      </c>
      <c r="V752" s="6">
        <v>735</v>
      </c>
      <c r="W752">
        <v>2000</v>
      </c>
      <c r="Y752" s="6">
        <v>750</v>
      </c>
      <c r="Z752">
        <v>75</v>
      </c>
      <c r="AB752" s="6">
        <v>736</v>
      </c>
      <c r="AC752">
        <v>4</v>
      </c>
    </row>
    <row r="753" spans="1:29" x14ac:dyDescent="0.25">
      <c r="A753">
        <v>752</v>
      </c>
      <c r="B753" s="1">
        <v>45269</v>
      </c>
      <c r="C753" t="s">
        <v>780</v>
      </c>
      <c r="D753" t="s">
        <v>12</v>
      </c>
      <c r="E753">
        <v>29</v>
      </c>
      <c r="F753" t="s">
        <v>17</v>
      </c>
      <c r="G753">
        <v>2</v>
      </c>
      <c r="H753">
        <v>50</v>
      </c>
      <c r="I753">
        <v>100</v>
      </c>
      <c r="J753" t="str">
        <f t="shared" si="11"/>
        <v>26-35</v>
      </c>
      <c r="M753" s="6" t="s">
        <v>928</v>
      </c>
      <c r="N753">
        <v>60</v>
      </c>
      <c r="V753" s="6">
        <v>736</v>
      </c>
      <c r="W753">
        <v>100</v>
      </c>
      <c r="Y753" s="6">
        <v>751</v>
      </c>
      <c r="Z753">
        <v>50</v>
      </c>
      <c r="AB753" s="6">
        <v>737</v>
      </c>
      <c r="AC753">
        <v>1</v>
      </c>
    </row>
    <row r="754" spans="1:29" x14ac:dyDescent="0.25">
      <c r="A754">
        <v>753</v>
      </c>
      <c r="B754" s="1">
        <v>44985</v>
      </c>
      <c r="C754" t="s">
        <v>781</v>
      </c>
      <c r="D754" t="s">
        <v>16</v>
      </c>
      <c r="E754">
        <v>32</v>
      </c>
      <c r="F754" t="s">
        <v>17</v>
      </c>
      <c r="G754">
        <v>1</v>
      </c>
      <c r="H754">
        <v>30</v>
      </c>
      <c r="I754">
        <v>30</v>
      </c>
      <c r="J754" t="str">
        <f t="shared" si="11"/>
        <v>26-35</v>
      </c>
      <c r="M754" s="6" t="s">
        <v>556</v>
      </c>
      <c r="N754">
        <v>60</v>
      </c>
      <c r="V754" s="6">
        <v>737</v>
      </c>
      <c r="W754">
        <v>50</v>
      </c>
      <c r="Y754" s="6">
        <v>752</v>
      </c>
      <c r="Z754">
        <v>100</v>
      </c>
      <c r="AB754" s="6">
        <v>738</v>
      </c>
      <c r="AC754">
        <v>2</v>
      </c>
    </row>
    <row r="755" spans="1:29" x14ac:dyDescent="0.25">
      <c r="A755">
        <v>754</v>
      </c>
      <c r="B755" s="1">
        <v>45215</v>
      </c>
      <c r="C755" t="s">
        <v>782</v>
      </c>
      <c r="D755" t="s">
        <v>16</v>
      </c>
      <c r="E755">
        <v>43</v>
      </c>
      <c r="F755" t="s">
        <v>20</v>
      </c>
      <c r="G755">
        <v>4</v>
      </c>
      <c r="H755">
        <v>25</v>
      </c>
      <c r="I755">
        <v>100</v>
      </c>
      <c r="J755" t="str">
        <f t="shared" si="11"/>
        <v>36-45</v>
      </c>
      <c r="M755" s="6" t="s">
        <v>484</v>
      </c>
      <c r="N755">
        <v>60</v>
      </c>
      <c r="V755" s="6">
        <v>738</v>
      </c>
      <c r="W755">
        <v>100</v>
      </c>
      <c r="Y755" s="6">
        <v>753</v>
      </c>
      <c r="Z755">
        <v>30</v>
      </c>
      <c r="AB755" s="6">
        <v>739</v>
      </c>
      <c r="AC755">
        <v>1</v>
      </c>
    </row>
    <row r="756" spans="1:29" x14ac:dyDescent="0.25">
      <c r="A756">
        <v>755</v>
      </c>
      <c r="B756" s="1">
        <v>45038</v>
      </c>
      <c r="C756" t="s">
        <v>783</v>
      </c>
      <c r="D756" t="s">
        <v>16</v>
      </c>
      <c r="E756">
        <v>58</v>
      </c>
      <c r="F756" t="s">
        <v>17</v>
      </c>
      <c r="G756">
        <v>3</v>
      </c>
      <c r="H756">
        <v>25</v>
      </c>
      <c r="I756">
        <v>75</v>
      </c>
      <c r="J756" t="str">
        <f t="shared" si="11"/>
        <v>46-60</v>
      </c>
      <c r="M756" s="6" t="s">
        <v>506</v>
      </c>
      <c r="N756">
        <v>60</v>
      </c>
      <c r="V756" s="6">
        <v>739</v>
      </c>
      <c r="W756">
        <v>25</v>
      </c>
      <c r="Y756" s="6">
        <v>754</v>
      </c>
      <c r="Z756">
        <v>100</v>
      </c>
      <c r="AB756" s="6">
        <v>740</v>
      </c>
      <c r="AC756">
        <v>4</v>
      </c>
    </row>
    <row r="757" spans="1:29" x14ac:dyDescent="0.25">
      <c r="A757">
        <v>756</v>
      </c>
      <c r="B757" s="1">
        <v>45165</v>
      </c>
      <c r="C757" t="s">
        <v>784</v>
      </c>
      <c r="D757" t="s">
        <v>16</v>
      </c>
      <c r="E757">
        <v>62</v>
      </c>
      <c r="F757" t="s">
        <v>20</v>
      </c>
      <c r="G757">
        <v>4</v>
      </c>
      <c r="H757">
        <v>300</v>
      </c>
      <c r="I757">
        <v>1200</v>
      </c>
      <c r="J757" t="b">
        <f t="shared" si="11"/>
        <v>0</v>
      </c>
      <c r="M757" s="6" t="s">
        <v>609</v>
      </c>
      <c r="N757">
        <v>60</v>
      </c>
      <c r="V757" s="6">
        <v>740</v>
      </c>
      <c r="W757">
        <v>200</v>
      </c>
      <c r="Y757" s="6">
        <v>755</v>
      </c>
      <c r="Z757">
        <v>75</v>
      </c>
      <c r="AB757" s="6">
        <v>741</v>
      </c>
      <c r="AC757">
        <v>1</v>
      </c>
    </row>
    <row r="758" spans="1:29" x14ac:dyDescent="0.25">
      <c r="A758">
        <v>757</v>
      </c>
      <c r="B758" s="1">
        <v>45285</v>
      </c>
      <c r="C758" t="s">
        <v>785</v>
      </c>
      <c r="D758" t="s">
        <v>16</v>
      </c>
      <c r="E758">
        <v>43</v>
      </c>
      <c r="F758" t="s">
        <v>20</v>
      </c>
      <c r="G758">
        <v>4</v>
      </c>
      <c r="H758">
        <v>300</v>
      </c>
      <c r="I758">
        <v>1200</v>
      </c>
      <c r="J758" t="str">
        <f t="shared" si="11"/>
        <v>36-45</v>
      </c>
      <c r="M758" s="6" t="s">
        <v>616</v>
      </c>
      <c r="N758">
        <v>60</v>
      </c>
      <c r="V758" s="6">
        <v>741</v>
      </c>
      <c r="W758">
        <v>300</v>
      </c>
      <c r="Y758" s="6">
        <v>756</v>
      </c>
      <c r="Z758">
        <v>1200</v>
      </c>
      <c r="AB758" s="6">
        <v>742</v>
      </c>
      <c r="AC758">
        <v>4</v>
      </c>
    </row>
    <row r="759" spans="1:29" x14ac:dyDescent="0.25">
      <c r="A759">
        <v>758</v>
      </c>
      <c r="B759" s="1">
        <v>45058</v>
      </c>
      <c r="C759" t="s">
        <v>786</v>
      </c>
      <c r="D759" t="s">
        <v>12</v>
      </c>
      <c r="E759">
        <v>64</v>
      </c>
      <c r="F759" t="s">
        <v>17</v>
      </c>
      <c r="G759">
        <v>4</v>
      </c>
      <c r="H759">
        <v>25</v>
      </c>
      <c r="I759">
        <v>100</v>
      </c>
      <c r="J759" t="b">
        <f t="shared" si="11"/>
        <v>0</v>
      </c>
      <c r="M759" s="6" t="s">
        <v>621</v>
      </c>
      <c r="N759">
        <v>60</v>
      </c>
      <c r="V759" s="6">
        <v>742</v>
      </c>
      <c r="W759">
        <v>2000</v>
      </c>
      <c r="Y759" s="6">
        <v>757</v>
      </c>
      <c r="Z759">
        <v>1200</v>
      </c>
      <c r="AB759" s="6">
        <v>743</v>
      </c>
      <c r="AC759">
        <v>4</v>
      </c>
    </row>
    <row r="760" spans="1:29" x14ac:dyDescent="0.25">
      <c r="A760">
        <v>759</v>
      </c>
      <c r="B760" s="1">
        <v>45115</v>
      </c>
      <c r="C760" t="s">
        <v>787</v>
      </c>
      <c r="D760" t="s">
        <v>12</v>
      </c>
      <c r="E760">
        <v>49</v>
      </c>
      <c r="F760" t="s">
        <v>20</v>
      </c>
      <c r="G760">
        <v>2</v>
      </c>
      <c r="H760">
        <v>50</v>
      </c>
      <c r="I760">
        <v>100</v>
      </c>
      <c r="J760" t="str">
        <f t="shared" si="11"/>
        <v>46-60</v>
      </c>
      <c r="M760" s="6" t="s">
        <v>591</v>
      </c>
      <c r="N760">
        <v>60</v>
      </c>
      <c r="V760" s="6">
        <v>743</v>
      </c>
      <c r="W760">
        <v>2000</v>
      </c>
      <c r="Y760" s="6">
        <v>758</v>
      </c>
      <c r="Z760">
        <v>100</v>
      </c>
      <c r="AB760" s="6">
        <v>744</v>
      </c>
      <c r="AC760">
        <v>1</v>
      </c>
    </row>
    <row r="761" spans="1:29" x14ac:dyDescent="0.25">
      <c r="A761">
        <v>760</v>
      </c>
      <c r="B761" s="1">
        <v>45012</v>
      </c>
      <c r="C761" t="s">
        <v>788</v>
      </c>
      <c r="D761" t="s">
        <v>12</v>
      </c>
      <c r="E761">
        <v>27</v>
      </c>
      <c r="F761" t="s">
        <v>13</v>
      </c>
      <c r="G761">
        <v>1</v>
      </c>
      <c r="H761">
        <v>500</v>
      </c>
      <c r="I761">
        <v>500</v>
      </c>
      <c r="J761" t="str">
        <f t="shared" si="11"/>
        <v>26-35</v>
      </c>
      <c r="M761" s="6" t="s">
        <v>527</v>
      </c>
      <c r="N761">
        <v>60</v>
      </c>
      <c r="V761" s="6">
        <v>744</v>
      </c>
      <c r="W761">
        <v>25</v>
      </c>
      <c r="Y761" s="6">
        <v>759</v>
      </c>
      <c r="Z761">
        <v>100</v>
      </c>
      <c r="AB761" s="6">
        <v>745</v>
      </c>
      <c r="AC761">
        <v>2</v>
      </c>
    </row>
    <row r="762" spans="1:29" x14ac:dyDescent="0.25">
      <c r="A762">
        <v>761</v>
      </c>
      <c r="B762" s="1">
        <v>45237</v>
      </c>
      <c r="C762" t="s">
        <v>789</v>
      </c>
      <c r="D762" t="s">
        <v>16</v>
      </c>
      <c r="E762">
        <v>33</v>
      </c>
      <c r="F762" t="s">
        <v>17</v>
      </c>
      <c r="G762">
        <v>1</v>
      </c>
      <c r="H762">
        <v>500</v>
      </c>
      <c r="I762">
        <v>500</v>
      </c>
      <c r="J762" t="str">
        <f t="shared" si="11"/>
        <v>26-35</v>
      </c>
      <c r="M762" s="6" t="s">
        <v>576</v>
      </c>
      <c r="N762">
        <v>60</v>
      </c>
      <c r="V762" s="6">
        <v>745</v>
      </c>
      <c r="W762">
        <v>100</v>
      </c>
      <c r="Y762" s="6">
        <v>760</v>
      </c>
      <c r="Z762">
        <v>500</v>
      </c>
      <c r="AB762" s="6">
        <v>746</v>
      </c>
      <c r="AC762">
        <v>3</v>
      </c>
    </row>
    <row r="763" spans="1:29" x14ac:dyDescent="0.25">
      <c r="A763">
        <v>762</v>
      </c>
      <c r="B763" s="1">
        <v>45237</v>
      </c>
      <c r="C763" t="s">
        <v>790</v>
      </c>
      <c r="D763" t="s">
        <v>16</v>
      </c>
      <c r="E763">
        <v>24</v>
      </c>
      <c r="F763" t="s">
        <v>20</v>
      </c>
      <c r="G763">
        <v>2</v>
      </c>
      <c r="H763">
        <v>25</v>
      </c>
      <c r="I763">
        <v>50</v>
      </c>
      <c r="J763" t="str">
        <f t="shared" si="11"/>
        <v>18-25</v>
      </c>
      <c r="M763" s="6" t="s">
        <v>398</v>
      </c>
      <c r="N763">
        <v>60</v>
      </c>
      <c r="V763" s="6">
        <v>746</v>
      </c>
      <c r="W763">
        <v>90</v>
      </c>
      <c r="Y763" s="6">
        <v>761</v>
      </c>
      <c r="Z763">
        <v>500</v>
      </c>
      <c r="AB763" s="6">
        <v>747</v>
      </c>
      <c r="AC763">
        <v>1</v>
      </c>
    </row>
    <row r="764" spans="1:29" x14ac:dyDescent="0.25">
      <c r="A764">
        <v>763</v>
      </c>
      <c r="B764" s="1">
        <v>44985</v>
      </c>
      <c r="C764" t="s">
        <v>791</v>
      </c>
      <c r="D764" t="s">
        <v>12</v>
      </c>
      <c r="E764">
        <v>34</v>
      </c>
      <c r="F764" t="s">
        <v>17</v>
      </c>
      <c r="G764">
        <v>2</v>
      </c>
      <c r="H764">
        <v>25</v>
      </c>
      <c r="I764">
        <v>50</v>
      </c>
      <c r="J764" t="str">
        <f t="shared" si="11"/>
        <v>26-35</v>
      </c>
      <c r="M764" s="6" t="s">
        <v>523</v>
      </c>
      <c r="N764">
        <v>60</v>
      </c>
      <c r="V764" s="6">
        <v>747</v>
      </c>
      <c r="W764">
        <v>30</v>
      </c>
      <c r="Y764" s="6">
        <v>762</v>
      </c>
      <c r="Z764">
        <v>50</v>
      </c>
      <c r="AB764" s="6">
        <v>748</v>
      </c>
      <c r="AC764">
        <v>3</v>
      </c>
    </row>
    <row r="765" spans="1:29" x14ac:dyDescent="0.25">
      <c r="A765">
        <v>764</v>
      </c>
      <c r="B765" s="1">
        <v>45010</v>
      </c>
      <c r="C765" t="s">
        <v>792</v>
      </c>
      <c r="D765" t="s">
        <v>16</v>
      </c>
      <c r="E765">
        <v>40</v>
      </c>
      <c r="F765" t="s">
        <v>17</v>
      </c>
      <c r="G765">
        <v>1</v>
      </c>
      <c r="H765">
        <v>25</v>
      </c>
      <c r="I765">
        <v>25</v>
      </c>
      <c r="J765" t="str">
        <f t="shared" si="11"/>
        <v>36-45</v>
      </c>
      <c r="M765" s="6" t="s">
        <v>427</v>
      </c>
      <c r="N765">
        <v>60</v>
      </c>
      <c r="V765" s="6">
        <v>748</v>
      </c>
      <c r="W765">
        <v>150</v>
      </c>
      <c r="Y765" s="6">
        <v>763</v>
      </c>
      <c r="Z765">
        <v>50</v>
      </c>
      <c r="AB765" s="6">
        <v>749</v>
      </c>
      <c r="AC765">
        <v>1</v>
      </c>
    </row>
    <row r="766" spans="1:29" x14ac:dyDescent="0.25">
      <c r="A766">
        <v>765</v>
      </c>
      <c r="B766" s="1">
        <v>45086</v>
      </c>
      <c r="C766" t="s">
        <v>793</v>
      </c>
      <c r="D766" t="s">
        <v>12</v>
      </c>
      <c r="E766">
        <v>43</v>
      </c>
      <c r="F766" t="s">
        <v>17</v>
      </c>
      <c r="G766">
        <v>4</v>
      </c>
      <c r="H766">
        <v>50</v>
      </c>
      <c r="I766">
        <v>200</v>
      </c>
      <c r="J766" t="str">
        <f t="shared" si="11"/>
        <v>36-45</v>
      </c>
      <c r="M766" s="6" t="s">
        <v>476</v>
      </c>
      <c r="N766">
        <v>60</v>
      </c>
      <c r="V766" s="6">
        <v>749</v>
      </c>
      <c r="W766">
        <v>30</v>
      </c>
      <c r="Y766" s="6">
        <v>764</v>
      </c>
      <c r="Z766">
        <v>25</v>
      </c>
      <c r="AB766" s="6">
        <v>750</v>
      </c>
      <c r="AC766">
        <v>3</v>
      </c>
    </row>
    <row r="767" spans="1:29" x14ac:dyDescent="0.25">
      <c r="A767">
        <v>766</v>
      </c>
      <c r="B767" s="1">
        <v>44982</v>
      </c>
      <c r="C767" t="s">
        <v>794</v>
      </c>
      <c r="D767" t="s">
        <v>12</v>
      </c>
      <c r="E767">
        <v>38</v>
      </c>
      <c r="F767" t="s">
        <v>20</v>
      </c>
      <c r="G767">
        <v>3</v>
      </c>
      <c r="H767">
        <v>300</v>
      </c>
      <c r="I767">
        <v>900</v>
      </c>
      <c r="J767" t="str">
        <f t="shared" si="11"/>
        <v>36-45</v>
      </c>
      <c r="M767" s="6" t="s">
        <v>529</v>
      </c>
      <c r="N767">
        <v>60</v>
      </c>
      <c r="V767" s="6">
        <v>750</v>
      </c>
      <c r="W767">
        <v>75</v>
      </c>
      <c r="Y767" s="6">
        <v>765</v>
      </c>
      <c r="Z767">
        <v>200</v>
      </c>
      <c r="AB767" s="6">
        <v>751</v>
      </c>
      <c r="AC767">
        <v>2</v>
      </c>
    </row>
    <row r="768" spans="1:29" x14ac:dyDescent="0.25">
      <c r="A768">
        <v>767</v>
      </c>
      <c r="B768" s="1">
        <v>45223</v>
      </c>
      <c r="C768" t="s">
        <v>795</v>
      </c>
      <c r="D768" t="s">
        <v>12</v>
      </c>
      <c r="E768">
        <v>39</v>
      </c>
      <c r="F768" t="s">
        <v>13</v>
      </c>
      <c r="G768">
        <v>3</v>
      </c>
      <c r="H768">
        <v>25</v>
      </c>
      <c r="I768">
        <v>75</v>
      </c>
      <c r="J768" t="str">
        <f t="shared" si="11"/>
        <v>36-45</v>
      </c>
      <c r="M768" s="6" t="s">
        <v>593</v>
      </c>
      <c r="N768">
        <v>60</v>
      </c>
      <c r="V768" s="6">
        <v>751</v>
      </c>
      <c r="W768">
        <v>50</v>
      </c>
      <c r="Y768" s="6">
        <v>766</v>
      </c>
      <c r="Z768">
        <v>900</v>
      </c>
      <c r="AB768" s="6">
        <v>752</v>
      </c>
      <c r="AC768">
        <v>2</v>
      </c>
    </row>
    <row r="769" spans="1:29" x14ac:dyDescent="0.25">
      <c r="A769">
        <v>768</v>
      </c>
      <c r="B769" s="1">
        <v>44940</v>
      </c>
      <c r="C769" t="s">
        <v>796</v>
      </c>
      <c r="D769" t="s">
        <v>16</v>
      </c>
      <c r="E769">
        <v>24</v>
      </c>
      <c r="F769" t="s">
        <v>13</v>
      </c>
      <c r="G769">
        <v>3</v>
      </c>
      <c r="H769">
        <v>25</v>
      </c>
      <c r="I769">
        <v>75</v>
      </c>
      <c r="J769" t="str">
        <f t="shared" si="11"/>
        <v>18-25</v>
      </c>
      <c r="M769" s="6" t="s">
        <v>601</v>
      </c>
      <c r="N769">
        <v>60</v>
      </c>
      <c r="V769" s="6">
        <v>752</v>
      </c>
      <c r="W769">
        <v>100</v>
      </c>
      <c r="Y769" s="6">
        <v>767</v>
      </c>
      <c r="Z769">
        <v>75</v>
      </c>
      <c r="AB769" s="6">
        <v>753</v>
      </c>
      <c r="AC769">
        <v>1</v>
      </c>
    </row>
    <row r="770" spans="1:29" x14ac:dyDescent="0.25">
      <c r="A770">
        <v>769</v>
      </c>
      <c r="B770" s="1">
        <v>45086</v>
      </c>
      <c r="C770" t="s">
        <v>797</v>
      </c>
      <c r="D770" t="s">
        <v>16</v>
      </c>
      <c r="E770">
        <v>31</v>
      </c>
      <c r="F770" t="s">
        <v>20</v>
      </c>
      <c r="G770">
        <v>4</v>
      </c>
      <c r="H770">
        <v>30</v>
      </c>
      <c r="I770">
        <v>120</v>
      </c>
      <c r="J770" t="str">
        <f t="shared" si="11"/>
        <v>26-35</v>
      </c>
      <c r="M770" s="6" t="s">
        <v>443</v>
      </c>
      <c r="N770">
        <v>60</v>
      </c>
      <c r="V770" s="6">
        <v>753</v>
      </c>
      <c r="W770">
        <v>30</v>
      </c>
      <c r="Y770" s="6">
        <v>768</v>
      </c>
      <c r="Z770">
        <v>75</v>
      </c>
      <c r="AB770" s="6">
        <v>754</v>
      </c>
      <c r="AC770">
        <v>4</v>
      </c>
    </row>
    <row r="771" spans="1:29" x14ac:dyDescent="0.25">
      <c r="A771">
        <v>770</v>
      </c>
      <c r="B771" s="1">
        <v>45221</v>
      </c>
      <c r="C771" t="s">
        <v>798</v>
      </c>
      <c r="D771" t="s">
        <v>12</v>
      </c>
      <c r="E771">
        <v>32</v>
      </c>
      <c r="F771" t="s">
        <v>17</v>
      </c>
      <c r="G771">
        <v>1</v>
      </c>
      <c r="H771">
        <v>50</v>
      </c>
      <c r="I771">
        <v>50</v>
      </c>
      <c r="J771" t="str">
        <f t="shared" ref="J771:J834" si="12">IF(AND(E771&gt;=18,E771&lt;=25),"18-25",IF(AND(E771&gt;=26,E771&lt;=35),"26-35",IF(AND(E771&gt;=36,E771&lt;=45),"36-45",IF(AND(E771&gt;=46,E771&lt;=60),"46-60"))))</f>
        <v>26-35</v>
      </c>
      <c r="M771" s="6" t="s">
        <v>108</v>
      </c>
      <c r="N771">
        <v>60</v>
      </c>
      <c r="V771" s="6">
        <v>754</v>
      </c>
      <c r="W771">
        <v>100</v>
      </c>
      <c r="Y771" s="6">
        <v>769</v>
      </c>
      <c r="Z771">
        <v>120</v>
      </c>
      <c r="AB771" s="6">
        <v>755</v>
      </c>
      <c r="AC771">
        <v>3</v>
      </c>
    </row>
    <row r="772" spans="1:29" x14ac:dyDescent="0.25">
      <c r="A772">
        <v>771</v>
      </c>
      <c r="B772" s="1">
        <v>45273</v>
      </c>
      <c r="C772" t="s">
        <v>799</v>
      </c>
      <c r="D772" t="s">
        <v>12</v>
      </c>
      <c r="E772">
        <v>24</v>
      </c>
      <c r="F772" t="s">
        <v>20</v>
      </c>
      <c r="G772">
        <v>2</v>
      </c>
      <c r="H772">
        <v>25</v>
      </c>
      <c r="I772">
        <v>50</v>
      </c>
      <c r="J772" t="str">
        <f t="shared" si="12"/>
        <v>18-25</v>
      </c>
      <c r="M772" s="6" t="s">
        <v>206</v>
      </c>
      <c r="N772">
        <v>60</v>
      </c>
      <c r="V772" s="6">
        <v>755</v>
      </c>
      <c r="W772">
        <v>75</v>
      </c>
      <c r="Y772" s="6">
        <v>770</v>
      </c>
      <c r="Z772">
        <v>50</v>
      </c>
      <c r="AB772" s="6">
        <v>756</v>
      </c>
      <c r="AC772">
        <v>4</v>
      </c>
    </row>
    <row r="773" spans="1:29" x14ac:dyDescent="0.25">
      <c r="A773">
        <v>772</v>
      </c>
      <c r="B773" s="1">
        <v>45119</v>
      </c>
      <c r="C773" t="s">
        <v>800</v>
      </c>
      <c r="D773" t="s">
        <v>12</v>
      </c>
      <c r="E773">
        <v>26</v>
      </c>
      <c r="F773" t="s">
        <v>20</v>
      </c>
      <c r="G773">
        <v>1</v>
      </c>
      <c r="H773">
        <v>30</v>
      </c>
      <c r="I773">
        <v>30</v>
      </c>
      <c r="J773" t="str">
        <f t="shared" si="12"/>
        <v>26-35</v>
      </c>
      <c r="M773" s="6" t="s">
        <v>343</v>
      </c>
      <c r="N773">
        <v>60</v>
      </c>
      <c r="V773" s="6">
        <v>756</v>
      </c>
      <c r="W773">
        <v>1200</v>
      </c>
      <c r="Y773" s="6">
        <v>771</v>
      </c>
      <c r="Z773">
        <v>50</v>
      </c>
      <c r="AB773" s="6">
        <v>757</v>
      </c>
      <c r="AC773">
        <v>4</v>
      </c>
    </row>
    <row r="774" spans="1:29" x14ac:dyDescent="0.25">
      <c r="A774">
        <v>773</v>
      </c>
      <c r="B774" s="1">
        <v>45130</v>
      </c>
      <c r="C774" t="s">
        <v>801</v>
      </c>
      <c r="D774" t="s">
        <v>12</v>
      </c>
      <c r="E774">
        <v>25</v>
      </c>
      <c r="F774" t="s">
        <v>20</v>
      </c>
      <c r="G774">
        <v>4</v>
      </c>
      <c r="H774">
        <v>500</v>
      </c>
      <c r="I774">
        <v>2000</v>
      </c>
      <c r="J774" t="str">
        <f t="shared" si="12"/>
        <v>18-25</v>
      </c>
      <c r="M774" s="6" t="s">
        <v>275</v>
      </c>
      <c r="N774">
        <v>60</v>
      </c>
      <c r="V774" s="6">
        <v>757</v>
      </c>
      <c r="W774">
        <v>1200</v>
      </c>
      <c r="Y774" s="6">
        <v>772</v>
      </c>
      <c r="Z774">
        <v>30</v>
      </c>
      <c r="AB774" s="6">
        <v>758</v>
      </c>
      <c r="AC774">
        <v>4</v>
      </c>
    </row>
    <row r="775" spans="1:29" x14ac:dyDescent="0.25">
      <c r="A775">
        <v>774</v>
      </c>
      <c r="B775" s="1">
        <v>45028</v>
      </c>
      <c r="C775" t="s">
        <v>802</v>
      </c>
      <c r="D775" t="s">
        <v>16</v>
      </c>
      <c r="E775">
        <v>40</v>
      </c>
      <c r="F775" t="s">
        <v>17</v>
      </c>
      <c r="G775">
        <v>2</v>
      </c>
      <c r="H775">
        <v>25</v>
      </c>
      <c r="I775">
        <v>50</v>
      </c>
      <c r="J775" t="str">
        <f t="shared" si="12"/>
        <v>36-45</v>
      </c>
      <c r="M775" s="6" t="s">
        <v>294</v>
      </c>
      <c r="N775">
        <v>60</v>
      </c>
      <c r="V775" s="6">
        <v>758</v>
      </c>
      <c r="W775">
        <v>100</v>
      </c>
      <c r="Y775" s="6">
        <v>773</v>
      </c>
      <c r="Z775">
        <v>2000</v>
      </c>
      <c r="AB775" s="6">
        <v>759</v>
      </c>
      <c r="AC775">
        <v>2</v>
      </c>
    </row>
    <row r="776" spans="1:29" x14ac:dyDescent="0.25">
      <c r="A776">
        <v>775</v>
      </c>
      <c r="B776" s="1">
        <v>44965</v>
      </c>
      <c r="C776" t="s">
        <v>803</v>
      </c>
      <c r="D776" t="s">
        <v>16</v>
      </c>
      <c r="E776">
        <v>46</v>
      </c>
      <c r="F776" t="s">
        <v>20</v>
      </c>
      <c r="G776">
        <v>4</v>
      </c>
      <c r="H776">
        <v>25</v>
      </c>
      <c r="I776">
        <v>100</v>
      </c>
      <c r="J776" t="str">
        <f t="shared" si="12"/>
        <v>46-60</v>
      </c>
      <c r="M776" s="6" t="s">
        <v>123</v>
      </c>
      <c r="N776">
        <v>60</v>
      </c>
      <c r="V776" s="6">
        <v>759</v>
      </c>
      <c r="W776">
        <v>100</v>
      </c>
      <c r="Y776" s="6">
        <v>774</v>
      </c>
      <c r="Z776">
        <v>50</v>
      </c>
      <c r="AB776" s="6">
        <v>760</v>
      </c>
      <c r="AC776">
        <v>1</v>
      </c>
    </row>
    <row r="777" spans="1:29" x14ac:dyDescent="0.25">
      <c r="A777">
        <v>776</v>
      </c>
      <c r="B777" s="1">
        <v>45230</v>
      </c>
      <c r="C777" t="s">
        <v>804</v>
      </c>
      <c r="D777" t="s">
        <v>12</v>
      </c>
      <c r="E777">
        <v>35</v>
      </c>
      <c r="F777" t="s">
        <v>17</v>
      </c>
      <c r="G777">
        <v>3</v>
      </c>
      <c r="H777">
        <v>30</v>
      </c>
      <c r="I777">
        <v>90</v>
      </c>
      <c r="J777" t="str">
        <f t="shared" si="12"/>
        <v>26-35</v>
      </c>
      <c r="M777" s="6" t="s">
        <v>291</v>
      </c>
      <c r="N777">
        <v>60</v>
      </c>
      <c r="V777" s="6">
        <v>760</v>
      </c>
      <c r="W777">
        <v>500</v>
      </c>
      <c r="Y777" s="6">
        <v>775</v>
      </c>
      <c r="Z777">
        <v>100</v>
      </c>
      <c r="AB777" s="6">
        <v>761</v>
      </c>
      <c r="AC777">
        <v>1</v>
      </c>
    </row>
    <row r="778" spans="1:29" x14ac:dyDescent="0.25">
      <c r="A778">
        <v>777</v>
      </c>
      <c r="B778" s="1">
        <v>45280</v>
      </c>
      <c r="C778" t="s">
        <v>805</v>
      </c>
      <c r="D778" t="s">
        <v>12</v>
      </c>
      <c r="E778">
        <v>48</v>
      </c>
      <c r="F778" t="s">
        <v>20</v>
      </c>
      <c r="G778">
        <v>3</v>
      </c>
      <c r="H778">
        <v>50</v>
      </c>
      <c r="I778">
        <v>150</v>
      </c>
      <c r="J778" t="str">
        <f t="shared" si="12"/>
        <v>46-60</v>
      </c>
      <c r="M778" s="6" t="s">
        <v>151</v>
      </c>
      <c r="N778">
        <v>60</v>
      </c>
      <c r="V778" s="6">
        <v>761</v>
      </c>
      <c r="W778">
        <v>500</v>
      </c>
      <c r="Y778" s="6">
        <v>776</v>
      </c>
      <c r="Z778">
        <v>90</v>
      </c>
      <c r="AB778" s="6">
        <v>762</v>
      </c>
      <c r="AC778">
        <v>2</v>
      </c>
    </row>
    <row r="779" spans="1:29" x14ac:dyDescent="0.25">
      <c r="A779">
        <v>778</v>
      </c>
      <c r="B779" s="1">
        <v>45248</v>
      </c>
      <c r="C779" t="s">
        <v>806</v>
      </c>
      <c r="D779" t="s">
        <v>16</v>
      </c>
      <c r="E779">
        <v>47</v>
      </c>
      <c r="F779" t="s">
        <v>13</v>
      </c>
      <c r="G779">
        <v>4</v>
      </c>
      <c r="H779">
        <v>25</v>
      </c>
      <c r="I779">
        <v>100</v>
      </c>
      <c r="J779" t="str">
        <f t="shared" si="12"/>
        <v>46-60</v>
      </c>
      <c r="M779" s="6" t="s">
        <v>176</v>
      </c>
      <c r="N779">
        <v>60</v>
      </c>
      <c r="V779" s="6">
        <v>762</v>
      </c>
      <c r="W779">
        <v>50</v>
      </c>
      <c r="Y779" s="6">
        <v>777</v>
      </c>
      <c r="Z779">
        <v>150</v>
      </c>
      <c r="AB779" s="6">
        <v>763</v>
      </c>
      <c r="AC779">
        <v>2</v>
      </c>
    </row>
    <row r="780" spans="1:29" x14ac:dyDescent="0.25">
      <c r="A780">
        <v>779</v>
      </c>
      <c r="B780" s="1">
        <v>45051</v>
      </c>
      <c r="C780" t="s">
        <v>807</v>
      </c>
      <c r="D780" t="s">
        <v>16</v>
      </c>
      <c r="E780">
        <v>56</v>
      </c>
      <c r="F780" t="s">
        <v>20</v>
      </c>
      <c r="G780">
        <v>2</v>
      </c>
      <c r="H780">
        <v>500</v>
      </c>
      <c r="I780">
        <v>1000</v>
      </c>
      <c r="J780" t="str">
        <f t="shared" si="12"/>
        <v>46-60</v>
      </c>
      <c r="M780" s="6" t="s">
        <v>288</v>
      </c>
      <c r="N780">
        <v>60</v>
      </c>
      <c r="V780" s="6">
        <v>763</v>
      </c>
      <c r="W780">
        <v>50</v>
      </c>
      <c r="Y780" s="6">
        <v>778</v>
      </c>
      <c r="Z780">
        <v>100</v>
      </c>
      <c r="AB780" s="6">
        <v>764</v>
      </c>
      <c r="AC780">
        <v>1</v>
      </c>
    </row>
    <row r="781" spans="1:29" x14ac:dyDescent="0.25">
      <c r="A781">
        <v>780</v>
      </c>
      <c r="B781" s="1">
        <v>44979</v>
      </c>
      <c r="C781" t="s">
        <v>808</v>
      </c>
      <c r="D781" t="s">
        <v>12</v>
      </c>
      <c r="E781">
        <v>52</v>
      </c>
      <c r="F781" t="s">
        <v>20</v>
      </c>
      <c r="G781">
        <v>2</v>
      </c>
      <c r="H781">
        <v>25</v>
      </c>
      <c r="I781">
        <v>50</v>
      </c>
      <c r="J781" t="str">
        <f t="shared" si="12"/>
        <v>46-60</v>
      </c>
      <c r="M781" s="6" t="s">
        <v>242</v>
      </c>
      <c r="N781">
        <v>60</v>
      </c>
      <c r="V781" s="6">
        <v>764</v>
      </c>
      <c r="W781">
        <v>25</v>
      </c>
      <c r="Y781" s="6">
        <v>779</v>
      </c>
      <c r="Z781">
        <v>1000</v>
      </c>
      <c r="AB781" s="6">
        <v>765</v>
      </c>
      <c r="AC781">
        <v>4</v>
      </c>
    </row>
    <row r="782" spans="1:29" x14ac:dyDescent="0.25">
      <c r="A782">
        <v>781</v>
      </c>
      <c r="B782" s="1">
        <v>45283</v>
      </c>
      <c r="C782" t="s">
        <v>809</v>
      </c>
      <c r="D782" t="s">
        <v>12</v>
      </c>
      <c r="E782">
        <v>35</v>
      </c>
      <c r="F782" t="s">
        <v>13</v>
      </c>
      <c r="G782">
        <v>1</v>
      </c>
      <c r="H782">
        <v>500</v>
      </c>
      <c r="I782">
        <v>500</v>
      </c>
      <c r="J782" t="str">
        <f t="shared" si="12"/>
        <v>26-35</v>
      </c>
      <c r="M782" s="6" t="s">
        <v>317</v>
      </c>
      <c r="N782">
        <v>60</v>
      </c>
      <c r="V782" s="6">
        <v>765</v>
      </c>
      <c r="W782">
        <v>200</v>
      </c>
      <c r="Y782" s="6">
        <v>780</v>
      </c>
      <c r="Z782">
        <v>50</v>
      </c>
      <c r="AB782" s="6">
        <v>766</v>
      </c>
      <c r="AC782">
        <v>3</v>
      </c>
    </row>
    <row r="783" spans="1:29" x14ac:dyDescent="0.25">
      <c r="A783">
        <v>782</v>
      </c>
      <c r="B783" s="1">
        <v>45081</v>
      </c>
      <c r="C783" t="s">
        <v>810</v>
      </c>
      <c r="D783" t="s">
        <v>12</v>
      </c>
      <c r="E783">
        <v>59</v>
      </c>
      <c r="F783" t="s">
        <v>17</v>
      </c>
      <c r="G783">
        <v>3</v>
      </c>
      <c r="H783">
        <v>300</v>
      </c>
      <c r="I783">
        <v>900</v>
      </c>
      <c r="J783" t="str">
        <f t="shared" si="12"/>
        <v>46-60</v>
      </c>
      <c r="M783" s="6" t="s">
        <v>256</v>
      </c>
      <c r="N783">
        <v>60</v>
      </c>
      <c r="V783" s="6">
        <v>766</v>
      </c>
      <c r="W783">
        <v>900</v>
      </c>
      <c r="Y783" s="6">
        <v>781</v>
      </c>
      <c r="Z783">
        <v>500</v>
      </c>
      <c r="AB783" s="6">
        <v>767</v>
      </c>
      <c r="AC783">
        <v>3</v>
      </c>
    </row>
    <row r="784" spans="1:29" x14ac:dyDescent="0.25">
      <c r="A784">
        <v>783</v>
      </c>
      <c r="B784" s="1">
        <v>45277</v>
      </c>
      <c r="C784" t="s">
        <v>811</v>
      </c>
      <c r="D784" t="s">
        <v>16</v>
      </c>
      <c r="E784">
        <v>56</v>
      </c>
      <c r="F784" t="s">
        <v>17</v>
      </c>
      <c r="G784">
        <v>1</v>
      </c>
      <c r="H784">
        <v>300</v>
      </c>
      <c r="I784">
        <v>300</v>
      </c>
      <c r="J784" t="str">
        <f t="shared" si="12"/>
        <v>46-60</v>
      </c>
      <c r="M784" s="6" t="s">
        <v>332</v>
      </c>
      <c r="N784">
        <v>60</v>
      </c>
      <c r="V784" s="6">
        <v>767</v>
      </c>
      <c r="W784">
        <v>75</v>
      </c>
      <c r="Y784" s="6">
        <v>782</v>
      </c>
      <c r="Z784">
        <v>900</v>
      </c>
      <c r="AB784" s="6">
        <v>768</v>
      </c>
      <c r="AC784">
        <v>3</v>
      </c>
    </row>
    <row r="785" spans="1:29" x14ac:dyDescent="0.25">
      <c r="A785">
        <v>784</v>
      </c>
      <c r="B785" s="1">
        <v>45234</v>
      </c>
      <c r="C785" t="s">
        <v>812</v>
      </c>
      <c r="D785" t="s">
        <v>16</v>
      </c>
      <c r="E785">
        <v>34</v>
      </c>
      <c r="F785" t="s">
        <v>20</v>
      </c>
      <c r="G785">
        <v>1</v>
      </c>
      <c r="H785">
        <v>500</v>
      </c>
      <c r="I785">
        <v>500</v>
      </c>
      <c r="J785" t="str">
        <f t="shared" si="12"/>
        <v>26-35</v>
      </c>
      <c r="M785" s="6" t="s">
        <v>190</v>
      </c>
      <c r="N785">
        <v>60</v>
      </c>
      <c r="V785" s="6">
        <v>768</v>
      </c>
      <c r="W785">
        <v>75</v>
      </c>
      <c r="Y785" s="6">
        <v>783</v>
      </c>
      <c r="Z785">
        <v>300</v>
      </c>
      <c r="AB785" s="6">
        <v>769</v>
      </c>
      <c r="AC785">
        <v>4</v>
      </c>
    </row>
    <row r="786" spans="1:29" x14ac:dyDescent="0.25">
      <c r="A786">
        <v>785</v>
      </c>
      <c r="B786" s="1">
        <v>44988</v>
      </c>
      <c r="C786" t="s">
        <v>813</v>
      </c>
      <c r="D786" t="s">
        <v>16</v>
      </c>
      <c r="E786">
        <v>31</v>
      </c>
      <c r="F786" t="s">
        <v>13</v>
      </c>
      <c r="G786">
        <v>4</v>
      </c>
      <c r="H786">
        <v>50</v>
      </c>
      <c r="I786">
        <v>200</v>
      </c>
      <c r="J786" t="str">
        <f t="shared" si="12"/>
        <v>26-35</v>
      </c>
      <c r="M786" s="6" t="s">
        <v>808</v>
      </c>
      <c r="N786">
        <v>50</v>
      </c>
      <c r="V786" s="6">
        <v>769</v>
      </c>
      <c r="W786">
        <v>120</v>
      </c>
      <c r="Y786" s="6">
        <v>784</v>
      </c>
      <c r="Z786">
        <v>500</v>
      </c>
      <c r="AB786" s="6">
        <v>770</v>
      </c>
      <c r="AC786">
        <v>1</v>
      </c>
    </row>
    <row r="787" spans="1:29" x14ac:dyDescent="0.25">
      <c r="A787">
        <v>786</v>
      </c>
      <c r="B787" s="1">
        <v>45216</v>
      </c>
      <c r="C787" t="s">
        <v>814</v>
      </c>
      <c r="D787" t="s">
        <v>12</v>
      </c>
      <c r="E787">
        <v>48</v>
      </c>
      <c r="F787" t="s">
        <v>17</v>
      </c>
      <c r="G787">
        <v>4</v>
      </c>
      <c r="H787">
        <v>25</v>
      </c>
      <c r="I787">
        <v>100</v>
      </c>
      <c r="J787" t="str">
        <f t="shared" si="12"/>
        <v>46-60</v>
      </c>
      <c r="M787" s="6" t="s">
        <v>894</v>
      </c>
      <c r="N787">
        <v>50</v>
      </c>
      <c r="V787" s="6">
        <v>770</v>
      </c>
      <c r="W787">
        <v>50</v>
      </c>
      <c r="Y787" s="6">
        <v>785</v>
      </c>
      <c r="Z787">
        <v>200</v>
      </c>
      <c r="AB787" s="6">
        <v>771</v>
      </c>
      <c r="AC787">
        <v>2</v>
      </c>
    </row>
    <row r="788" spans="1:29" x14ac:dyDescent="0.25">
      <c r="A788">
        <v>787</v>
      </c>
      <c r="B788" s="1">
        <v>44948</v>
      </c>
      <c r="C788" t="s">
        <v>815</v>
      </c>
      <c r="D788" t="s">
        <v>12</v>
      </c>
      <c r="E788">
        <v>41</v>
      </c>
      <c r="F788" t="s">
        <v>20</v>
      </c>
      <c r="G788">
        <v>1</v>
      </c>
      <c r="H788">
        <v>25</v>
      </c>
      <c r="I788">
        <v>25</v>
      </c>
      <c r="J788" t="str">
        <f t="shared" si="12"/>
        <v>36-45</v>
      </c>
      <c r="M788" s="6" t="s">
        <v>963</v>
      </c>
      <c r="N788">
        <v>50</v>
      </c>
      <c r="V788" s="6">
        <v>771</v>
      </c>
      <c r="W788">
        <v>50</v>
      </c>
      <c r="Y788" s="6">
        <v>786</v>
      </c>
      <c r="Z788">
        <v>100</v>
      </c>
      <c r="AB788" s="6">
        <v>772</v>
      </c>
      <c r="AC788">
        <v>1</v>
      </c>
    </row>
    <row r="789" spans="1:29" x14ac:dyDescent="0.25">
      <c r="A789">
        <v>788</v>
      </c>
      <c r="B789" s="1">
        <v>45104</v>
      </c>
      <c r="C789" t="s">
        <v>816</v>
      </c>
      <c r="D789" t="s">
        <v>16</v>
      </c>
      <c r="E789">
        <v>52</v>
      </c>
      <c r="F789" t="s">
        <v>13</v>
      </c>
      <c r="G789">
        <v>3</v>
      </c>
      <c r="H789">
        <v>300</v>
      </c>
      <c r="I789">
        <v>900</v>
      </c>
      <c r="J789" t="str">
        <f t="shared" si="12"/>
        <v>46-60</v>
      </c>
      <c r="M789" s="6" t="s">
        <v>969</v>
      </c>
      <c r="N789">
        <v>50</v>
      </c>
      <c r="V789" s="6">
        <v>772</v>
      </c>
      <c r="W789">
        <v>30</v>
      </c>
      <c r="Y789" s="6">
        <v>787</v>
      </c>
      <c r="Z789">
        <v>25</v>
      </c>
      <c r="AB789" s="6">
        <v>773</v>
      </c>
      <c r="AC789">
        <v>4</v>
      </c>
    </row>
    <row r="790" spans="1:29" x14ac:dyDescent="0.25">
      <c r="A790">
        <v>789</v>
      </c>
      <c r="B790" s="1">
        <v>45199</v>
      </c>
      <c r="C790" t="s">
        <v>817</v>
      </c>
      <c r="D790" t="s">
        <v>16</v>
      </c>
      <c r="E790">
        <v>61</v>
      </c>
      <c r="F790" t="s">
        <v>17</v>
      </c>
      <c r="G790">
        <v>4</v>
      </c>
      <c r="H790">
        <v>500</v>
      </c>
      <c r="I790">
        <v>2000</v>
      </c>
      <c r="J790" t="b">
        <f t="shared" si="12"/>
        <v>0</v>
      </c>
      <c r="M790" s="6" t="s">
        <v>918</v>
      </c>
      <c r="N790">
        <v>50</v>
      </c>
      <c r="V790" s="6">
        <v>773</v>
      </c>
      <c r="W790">
        <v>2000</v>
      </c>
      <c r="Y790" s="6">
        <v>788</v>
      </c>
      <c r="Z790">
        <v>900</v>
      </c>
      <c r="AB790" s="6">
        <v>774</v>
      </c>
      <c r="AC790">
        <v>2</v>
      </c>
    </row>
    <row r="791" spans="1:29" x14ac:dyDescent="0.25">
      <c r="A791">
        <v>790</v>
      </c>
      <c r="B791" s="1">
        <v>45146</v>
      </c>
      <c r="C791" t="s">
        <v>818</v>
      </c>
      <c r="D791" t="s">
        <v>12</v>
      </c>
      <c r="E791">
        <v>62</v>
      </c>
      <c r="F791" t="s">
        <v>17</v>
      </c>
      <c r="G791">
        <v>1</v>
      </c>
      <c r="H791">
        <v>25</v>
      </c>
      <c r="I791">
        <v>25</v>
      </c>
      <c r="J791" t="b">
        <f t="shared" si="12"/>
        <v>0</v>
      </c>
      <c r="M791" s="6" t="s">
        <v>839</v>
      </c>
      <c r="N791">
        <v>50</v>
      </c>
      <c r="V791" s="6">
        <v>774</v>
      </c>
      <c r="W791">
        <v>50</v>
      </c>
      <c r="Y791" s="6">
        <v>789</v>
      </c>
      <c r="Z791">
        <v>2000</v>
      </c>
      <c r="AB791" s="6">
        <v>775</v>
      </c>
      <c r="AC791">
        <v>4</v>
      </c>
    </row>
    <row r="792" spans="1:29" x14ac:dyDescent="0.25">
      <c r="A792">
        <v>791</v>
      </c>
      <c r="B792" s="1">
        <v>45265</v>
      </c>
      <c r="C792" t="s">
        <v>819</v>
      </c>
      <c r="D792" t="s">
        <v>16</v>
      </c>
      <c r="E792">
        <v>51</v>
      </c>
      <c r="F792" t="s">
        <v>13</v>
      </c>
      <c r="G792">
        <v>1</v>
      </c>
      <c r="H792">
        <v>25</v>
      </c>
      <c r="I792">
        <v>25</v>
      </c>
      <c r="J792" t="str">
        <f t="shared" si="12"/>
        <v>46-60</v>
      </c>
      <c r="M792" s="6" t="s">
        <v>733</v>
      </c>
      <c r="N792">
        <v>50</v>
      </c>
      <c r="V792" s="6">
        <v>775</v>
      </c>
      <c r="W792">
        <v>100</v>
      </c>
      <c r="Y792" s="6">
        <v>790</v>
      </c>
      <c r="Z792">
        <v>25</v>
      </c>
      <c r="AB792" s="6">
        <v>776</v>
      </c>
      <c r="AC792">
        <v>3</v>
      </c>
    </row>
    <row r="793" spans="1:29" x14ac:dyDescent="0.25">
      <c r="A793">
        <v>792</v>
      </c>
      <c r="B793" s="1">
        <v>45116</v>
      </c>
      <c r="C793" t="s">
        <v>820</v>
      </c>
      <c r="D793" t="s">
        <v>16</v>
      </c>
      <c r="E793">
        <v>20</v>
      </c>
      <c r="F793" t="s">
        <v>13</v>
      </c>
      <c r="G793">
        <v>1</v>
      </c>
      <c r="H793">
        <v>50</v>
      </c>
      <c r="I793">
        <v>50</v>
      </c>
      <c r="J793" t="str">
        <f t="shared" si="12"/>
        <v>18-25</v>
      </c>
      <c r="M793" s="6" t="s">
        <v>972</v>
      </c>
      <c r="N793">
        <v>50</v>
      </c>
      <c r="V793" s="6">
        <v>776</v>
      </c>
      <c r="W793">
        <v>90</v>
      </c>
      <c r="Y793" s="6">
        <v>791</v>
      </c>
      <c r="Z793">
        <v>25</v>
      </c>
      <c r="AB793" s="6">
        <v>777</v>
      </c>
      <c r="AC793">
        <v>3</v>
      </c>
    </row>
    <row r="794" spans="1:29" x14ac:dyDescent="0.25">
      <c r="A794">
        <v>793</v>
      </c>
      <c r="B794" s="1">
        <v>44962</v>
      </c>
      <c r="C794" t="s">
        <v>821</v>
      </c>
      <c r="D794" t="s">
        <v>12</v>
      </c>
      <c r="E794">
        <v>54</v>
      </c>
      <c r="F794" t="s">
        <v>13</v>
      </c>
      <c r="G794">
        <v>1</v>
      </c>
      <c r="H794">
        <v>30</v>
      </c>
      <c r="I794">
        <v>30</v>
      </c>
      <c r="J794" t="str">
        <f t="shared" si="12"/>
        <v>46-60</v>
      </c>
      <c r="M794" s="6" t="s">
        <v>868</v>
      </c>
      <c r="N794">
        <v>50</v>
      </c>
      <c r="V794" s="6">
        <v>777</v>
      </c>
      <c r="W794">
        <v>150</v>
      </c>
      <c r="Y794" s="6">
        <v>792</v>
      </c>
      <c r="Z794">
        <v>50</v>
      </c>
      <c r="AB794" s="6">
        <v>778</v>
      </c>
      <c r="AC794">
        <v>4</v>
      </c>
    </row>
    <row r="795" spans="1:29" x14ac:dyDescent="0.25">
      <c r="A795">
        <v>794</v>
      </c>
      <c r="B795" s="1">
        <v>45186</v>
      </c>
      <c r="C795" t="s">
        <v>822</v>
      </c>
      <c r="D795" t="s">
        <v>16</v>
      </c>
      <c r="E795">
        <v>60</v>
      </c>
      <c r="F795" t="s">
        <v>13</v>
      </c>
      <c r="G795">
        <v>1</v>
      </c>
      <c r="H795">
        <v>300</v>
      </c>
      <c r="I795">
        <v>300</v>
      </c>
      <c r="J795" t="str">
        <f t="shared" si="12"/>
        <v>46-60</v>
      </c>
      <c r="M795" s="6" t="s">
        <v>790</v>
      </c>
      <c r="N795">
        <v>50</v>
      </c>
      <c r="V795" s="6">
        <v>778</v>
      </c>
      <c r="W795">
        <v>100</v>
      </c>
      <c r="Y795" s="6">
        <v>793</v>
      </c>
      <c r="Z795">
        <v>30</v>
      </c>
      <c r="AB795" s="6">
        <v>779</v>
      </c>
      <c r="AC795">
        <v>2</v>
      </c>
    </row>
    <row r="796" spans="1:29" x14ac:dyDescent="0.25">
      <c r="A796">
        <v>795</v>
      </c>
      <c r="B796" s="1">
        <v>45258</v>
      </c>
      <c r="C796" t="s">
        <v>823</v>
      </c>
      <c r="D796" t="s">
        <v>12</v>
      </c>
      <c r="E796">
        <v>57</v>
      </c>
      <c r="F796" t="s">
        <v>20</v>
      </c>
      <c r="G796">
        <v>1</v>
      </c>
      <c r="H796">
        <v>300</v>
      </c>
      <c r="I796">
        <v>300</v>
      </c>
      <c r="J796" t="str">
        <f t="shared" si="12"/>
        <v>46-60</v>
      </c>
      <c r="M796" s="6" t="s">
        <v>1001</v>
      </c>
      <c r="N796">
        <v>50</v>
      </c>
      <c r="V796" s="6">
        <v>779</v>
      </c>
      <c r="W796">
        <v>1000</v>
      </c>
      <c r="Y796" s="6">
        <v>794</v>
      </c>
      <c r="Z796">
        <v>300</v>
      </c>
      <c r="AB796" s="6">
        <v>780</v>
      </c>
      <c r="AC796">
        <v>2</v>
      </c>
    </row>
    <row r="797" spans="1:29" x14ac:dyDescent="0.25">
      <c r="A797">
        <v>796</v>
      </c>
      <c r="B797" s="1">
        <v>45101</v>
      </c>
      <c r="C797" t="s">
        <v>824</v>
      </c>
      <c r="D797" t="s">
        <v>12</v>
      </c>
      <c r="E797">
        <v>43</v>
      </c>
      <c r="F797" t="s">
        <v>13</v>
      </c>
      <c r="G797">
        <v>4</v>
      </c>
      <c r="H797">
        <v>30</v>
      </c>
      <c r="I797">
        <v>120</v>
      </c>
      <c r="J797" t="str">
        <f t="shared" si="12"/>
        <v>36-45</v>
      </c>
      <c r="M797" s="6" t="s">
        <v>799</v>
      </c>
      <c r="N797">
        <v>50</v>
      </c>
      <c r="V797" s="6">
        <v>780</v>
      </c>
      <c r="W797">
        <v>50</v>
      </c>
      <c r="Y797" s="6">
        <v>795</v>
      </c>
      <c r="Z797">
        <v>300</v>
      </c>
      <c r="AB797" s="6">
        <v>781</v>
      </c>
      <c r="AC797">
        <v>1</v>
      </c>
    </row>
    <row r="798" spans="1:29" x14ac:dyDescent="0.25">
      <c r="A798">
        <v>797</v>
      </c>
      <c r="B798" s="1">
        <v>44933</v>
      </c>
      <c r="C798" t="s">
        <v>825</v>
      </c>
      <c r="D798" t="s">
        <v>12</v>
      </c>
      <c r="E798">
        <v>40</v>
      </c>
      <c r="F798" t="s">
        <v>17</v>
      </c>
      <c r="G798">
        <v>3</v>
      </c>
      <c r="H798">
        <v>25</v>
      </c>
      <c r="I798">
        <v>75</v>
      </c>
      <c r="J798" t="str">
        <f t="shared" si="12"/>
        <v>36-45</v>
      </c>
      <c r="M798" s="6" t="s">
        <v>920</v>
      </c>
      <c r="N798">
        <v>50</v>
      </c>
      <c r="V798" s="6">
        <v>781</v>
      </c>
      <c r="W798">
        <v>500</v>
      </c>
      <c r="Y798" s="6">
        <v>796</v>
      </c>
      <c r="Z798">
        <v>120</v>
      </c>
      <c r="AB798" s="6">
        <v>782</v>
      </c>
      <c r="AC798">
        <v>3</v>
      </c>
    </row>
    <row r="799" spans="1:29" x14ac:dyDescent="0.25">
      <c r="A799">
        <v>798</v>
      </c>
      <c r="B799" s="1">
        <v>45142</v>
      </c>
      <c r="C799" t="s">
        <v>826</v>
      </c>
      <c r="D799" t="s">
        <v>12</v>
      </c>
      <c r="E799">
        <v>61</v>
      </c>
      <c r="F799" t="s">
        <v>17</v>
      </c>
      <c r="G799">
        <v>1</v>
      </c>
      <c r="H799">
        <v>50</v>
      </c>
      <c r="I799">
        <v>50</v>
      </c>
      <c r="J799" t="b">
        <f t="shared" si="12"/>
        <v>0</v>
      </c>
      <c r="M799" s="6" t="s">
        <v>977</v>
      </c>
      <c r="N799">
        <v>50</v>
      </c>
      <c r="V799" s="6">
        <v>782</v>
      </c>
      <c r="W799">
        <v>900</v>
      </c>
      <c r="Y799" s="6">
        <v>797</v>
      </c>
      <c r="Z799">
        <v>75</v>
      </c>
      <c r="AB799" s="6">
        <v>783</v>
      </c>
      <c r="AC799">
        <v>1</v>
      </c>
    </row>
    <row r="800" spans="1:29" x14ac:dyDescent="0.25">
      <c r="A800">
        <v>799</v>
      </c>
      <c r="B800" s="1">
        <v>45177</v>
      </c>
      <c r="C800" t="s">
        <v>827</v>
      </c>
      <c r="D800" t="s">
        <v>12</v>
      </c>
      <c r="E800">
        <v>56</v>
      </c>
      <c r="F800" t="s">
        <v>20</v>
      </c>
      <c r="G800">
        <v>2</v>
      </c>
      <c r="H800">
        <v>50</v>
      </c>
      <c r="I800">
        <v>100</v>
      </c>
      <c r="J800" t="str">
        <f t="shared" si="12"/>
        <v>46-60</v>
      </c>
      <c r="M800" s="6" t="s">
        <v>1013</v>
      </c>
      <c r="N800">
        <v>50</v>
      </c>
      <c r="V800" s="6">
        <v>783</v>
      </c>
      <c r="W800">
        <v>300</v>
      </c>
      <c r="Y800" s="6">
        <v>798</v>
      </c>
      <c r="Z800">
        <v>50</v>
      </c>
      <c r="AB800" s="6">
        <v>784</v>
      </c>
      <c r="AC800">
        <v>1</v>
      </c>
    </row>
    <row r="801" spans="1:29" x14ac:dyDescent="0.25">
      <c r="A801">
        <v>800</v>
      </c>
      <c r="B801" s="1">
        <v>44981</v>
      </c>
      <c r="C801" t="s">
        <v>828</v>
      </c>
      <c r="D801" t="s">
        <v>12</v>
      </c>
      <c r="E801">
        <v>32</v>
      </c>
      <c r="F801" t="s">
        <v>17</v>
      </c>
      <c r="G801">
        <v>4</v>
      </c>
      <c r="H801">
        <v>300</v>
      </c>
      <c r="I801">
        <v>1200</v>
      </c>
      <c r="J801" t="str">
        <f t="shared" si="12"/>
        <v>26-35</v>
      </c>
      <c r="M801" s="6" t="s">
        <v>934</v>
      </c>
      <c r="N801">
        <v>50</v>
      </c>
      <c r="V801" s="6">
        <v>784</v>
      </c>
      <c r="W801">
        <v>500</v>
      </c>
      <c r="Y801" s="6">
        <v>799</v>
      </c>
      <c r="Z801">
        <v>100</v>
      </c>
      <c r="AB801" s="6">
        <v>785</v>
      </c>
      <c r="AC801">
        <v>4</v>
      </c>
    </row>
    <row r="802" spans="1:29" x14ac:dyDescent="0.25">
      <c r="A802">
        <v>801</v>
      </c>
      <c r="B802" s="1">
        <v>45148</v>
      </c>
      <c r="C802" t="s">
        <v>829</v>
      </c>
      <c r="D802" t="s">
        <v>12</v>
      </c>
      <c r="E802">
        <v>21</v>
      </c>
      <c r="F802" t="s">
        <v>17</v>
      </c>
      <c r="G802">
        <v>4</v>
      </c>
      <c r="H802">
        <v>50</v>
      </c>
      <c r="I802">
        <v>200</v>
      </c>
      <c r="J802" t="str">
        <f t="shared" si="12"/>
        <v>18-25</v>
      </c>
      <c r="M802" s="6" t="s">
        <v>864</v>
      </c>
      <c r="N802">
        <v>50</v>
      </c>
      <c r="V802" s="6">
        <v>785</v>
      </c>
      <c r="W802">
        <v>200</v>
      </c>
      <c r="Y802" s="6">
        <v>800</v>
      </c>
      <c r="Z802">
        <v>1200</v>
      </c>
      <c r="AB802" s="6">
        <v>786</v>
      </c>
      <c r="AC802">
        <v>4</v>
      </c>
    </row>
    <row r="803" spans="1:29" x14ac:dyDescent="0.25">
      <c r="A803">
        <v>802</v>
      </c>
      <c r="B803" s="1">
        <v>45112</v>
      </c>
      <c r="C803" t="s">
        <v>830</v>
      </c>
      <c r="D803" t="s">
        <v>16</v>
      </c>
      <c r="E803">
        <v>46</v>
      </c>
      <c r="F803" t="s">
        <v>13</v>
      </c>
      <c r="G803">
        <v>1</v>
      </c>
      <c r="H803">
        <v>30</v>
      </c>
      <c r="I803">
        <v>30</v>
      </c>
      <c r="J803" t="str">
        <f t="shared" si="12"/>
        <v>46-60</v>
      </c>
      <c r="M803" s="6" t="s">
        <v>877</v>
      </c>
      <c r="N803">
        <v>50</v>
      </c>
      <c r="V803" s="6">
        <v>786</v>
      </c>
      <c r="W803">
        <v>100</v>
      </c>
      <c r="Y803" s="6">
        <v>801</v>
      </c>
      <c r="Z803">
        <v>200</v>
      </c>
      <c r="AB803" s="6">
        <v>787</v>
      </c>
      <c r="AC803">
        <v>1</v>
      </c>
    </row>
    <row r="804" spans="1:29" x14ac:dyDescent="0.25">
      <c r="A804">
        <v>803</v>
      </c>
      <c r="B804" s="1">
        <v>45252</v>
      </c>
      <c r="C804" t="s">
        <v>831</v>
      </c>
      <c r="D804" t="s">
        <v>12</v>
      </c>
      <c r="E804">
        <v>39</v>
      </c>
      <c r="F804" t="s">
        <v>17</v>
      </c>
      <c r="G804">
        <v>4</v>
      </c>
      <c r="H804">
        <v>25</v>
      </c>
      <c r="I804">
        <v>100</v>
      </c>
      <c r="J804" t="str">
        <f t="shared" si="12"/>
        <v>36-45</v>
      </c>
      <c r="M804" s="6" t="s">
        <v>1024</v>
      </c>
      <c r="N804">
        <v>50</v>
      </c>
      <c r="V804" s="6">
        <v>787</v>
      </c>
      <c r="W804">
        <v>25</v>
      </c>
      <c r="Y804" s="6">
        <v>802</v>
      </c>
      <c r="Z804">
        <v>30</v>
      </c>
      <c r="AB804" s="6">
        <v>788</v>
      </c>
      <c r="AC804">
        <v>3</v>
      </c>
    </row>
    <row r="805" spans="1:29" x14ac:dyDescent="0.25">
      <c r="A805">
        <v>804</v>
      </c>
      <c r="B805" s="1">
        <v>45162</v>
      </c>
      <c r="C805" t="s">
        <v>832</v>
      </c>
      <c r="D805" t="s">
        <v>12</v>
      </c>
      <c r="E805">
        <v>42</v>
      </c>
      <c r="F805" t="s">
        <v>20</v>
      </c>
      <c r="G805">
        <v>1</v>
      </c>
      <c r="H805">
        <v>30</v>
      </c>
      <c r="I805">
        <v>30</v>
      </c>
      <c r="J805" t="str">
        <f t="shared" si="12"/>
        <v>36-45</v>
      </c>
      <c r="M805" s="6" t="s">
        <v>820</v>
      </c>
      <c r="N805">
        <v>50</v>
      </c>
      <c r="V805" s="6">
        <v>788</v>
      </c>
      <c r="W805">
        <v>900</v>
      </c>
      <c r="Y805" s="6">
        <v>803</v>
      </c>
      <c r="Z805">
        <v>100</v>
      </c>
      <c r="AB805" s="6">
        <v>789</v>
      </c>
      <c r="AC805">
        <v>4</v>
      </c>
    </row>
    <row r="806" spans="1:29" x14ac:dyDescent="0.25">
      <c r="A806">
        <v>805</v>
      </c>
      <c r="B806" s="1">
        <v>45289</v>
      </c>
      <c r="C806" t="s">
        <v>833</v>
      </c>
      <c r="D806" t="s">
        <v>16</v>
      </c>
      <c r="E806">
        <v>30</v>
      </c>
      <c r="F806" t="s">
        <v>13</v>
      </c>
      <c r="G806">
        <v>3</v>
      </c>
      <c r="H806">
        <v>500</v>
      </c>
      <c r="I806">
        <v>1500</v>
      </c>
      <c r="J806" t="str">
        <f t="shared" si="12"/>
        <v>26-35</v>
      </c>
      <c r="M806" s="6" t="s">
        <v>947</v>
      </c>
      <c r="N806">
        <v>50</v>
      </c>
      <c r="V806" s="6">
        <v>789</v>
      </c>
      <c r="W806">
        <v>2000</v>
      </c>
      <c r="Y806" s="6">
        <v>804</v>
      </c>
      <c r="Z806">
        <v>30</v>
      </c>
      <c r="AB806" s="6">
        <v>790</v>
      </c>
      <c r="AC806">
        <v>1</v>
      </c>
    </row>
    <row r="807" spans="1:29" x14ac:dyDescent="0.25">
      <c r="A807">
        <v>806</v>
      </c>
      <c r="B807" s="1">
        <v>45005</v>
      </c>
      <c r="C807" t="s">
        <v>834</v>
      </c>
      <c r="D807" t="s">
        <v>16</v>
      </c>
      <c r="E807">
        <v>35</v>
      </c>
      <c r="F807" t="s">
        <v>13</v>
      </c>
      <c r="G807">
        <v>3</v>
      </c>
      <c r="H807">
        <v>300</v>
      </c>
      <c r="I807">
        <v>900</v>
      </c>
      <c r="J807" t="str">
        <f t="shared" si="12"/>
        <v>26-35</v>
      </c>
      <c r="M807" s="6" t="s">
        <v>791</v>
      </c>
      <c r="N807">
        <v>50</v>
      </c>
      <c r="V807" s="6">
        <v>790</v>
      </c>
      <c r="W807">
        <v>25</v>
      </c>
      <c r="Y807" s="6">
        <v>805</v>
      </c>
      <c r="Z807">
        <v>1500</v>
      </c>
      <c r="AB807" s="6">
        <v>791</v>
      </c>
      <c r="AC807">
        <v>1</v>
      </c>
    </row>
    <row r="808" spans="1:29" x14ac:dyDescent="0.25">
      <c r="A808">
        <v>807</v>
      </c>
      <c r="B808" s="1">
        <v>45149</v>
      </c>
      <c r="C808" t="s">
        <v>835</v>
      </c>
      <c r="D808" t="s">
        <v>16</v>
      </c>
      <c r="E808">
        <v>50</v>
      </c>
      <c r="F808" t="s">
        <v>20</v>
      </c>
      <c r="G808">
        <v>4</v>
      </c>
      <c r="H808">
        <v>50</v>
      </c>
      <c r="I808">
        <v>200</v>
      </c>
      <c r="J808" t="str">
        <f t="shared" si="12"/>
        <v>46-60</v>
      </c>
      <c r="M808" s="6" t="s">
        <v>917</v>
      </c>
      <c r="N808">
        <v>50</v>
      </c>
      <c r="V808" s="6">
        <v>791</v>
      </c>
      <c r="W808">
        <v>25</v>
      </c>
      <c r="Y808" s="6">
        <v>806</v>
      </c>
      <c r="Z808">
        <v>900</v>
      </c>
      <c r="AB808" s="6">
        <v>792</v>
      </c>
      <c r="AC808">
        <v>1</v>
      </c>
    </row>
    <row r="809" spans="1:29" x14ac:dyDescent="0.25">
      <c r="A809">
        <v>808</v>
      </c>
      <c r="B809" s="1">
        <v>45017</v>
      </c>
      <c r="C809" t="s">
        <v>836</v>
      </c>
      <c r="D809" t="s">
        <v>12</v>
      </c>
      <c r="E809">
        <v>33</v>
      </c>
      <c r="F809" t="s">
        <v>13</v>
      </c>
      <c r="G809">
        <v>4</v>
      </c>
      <c r="H809">
        <v>500</v>
      </c>
      <c r="I809">
        <v>2000</v>
      </c>
      <c r="J809" t="str">
        <f t="shared" si="12"/>
        <v>26-35</v>
      </c>
      <c r="M809" s="6" t="s">
        <v>986</v>
      </c>
      <c r="N809">
        <v>50</v>
      </c>
      <c r="V809" s="6">
        <v>792</v>
      </c>
      <c r="W809">
        <v>50</v>
      </c>
      <c r="Y809" s="6">
        <v>807</v>
      </c>
      <c r="Z809">
        <v>200</v>
      </c>
      <c r="AB809" s="6">
        <v>793</v>
      </c>
      <c r="AC809">
        <v>1</v>
      </c>
    </row>
    <row r="810" spans="1:29" x14ac:dyDescent="0.25">
      <c r="A810">
        <v>809</v>
      </c>
      <c r="B810" s="1">
        <v>45194</v>
      </c>
      <c r="C810" t="s">
        <v>837</v>
      </c>
      <c r="D810" t="s">
        <v>16</v>
      </c>
      <c r="E810">
        <v>62</v>
      </c>
      <c r="F810" t="s">
        <v>13</v>
      </c>
      <c r="G810">
        <v>2</v>
      </c>
      <c r="H810">
        <v>50</v>
      </c>
      <c r="I810">
        <v>100</v>
      </c>
      <c r="J810" t="b">
        <f t="shared" si="12"/>
        <v>0</v>
      </c>
      <c r="M810" s="6" t="s">
        <v>950</v>
      </c>
      <c r="N810">
        <v>50</v>
      </c>
      <c r="V810" s="6">
        <v>793</v>
      </c>
      <c r="W810">
        <v>30</v>
      </c>
      <c r="Y810" s="6">
        <v>808</v>
      </c>
      <c r="Z810">
        <v>2000</v>
      </c>
      <c r="AB810" s="6">
        <v>794</v>
      </c>
      <c r="AC810">
        <v>1</v>
      </c>
    </row>
    <row r="811" spans="1:29" x14ac:dyDescent="0.25">
      <c r="A811">
        <v>810</v>
      </c>
      <c r="B811" s="1">
        <v>45260</v>
      </c>
      <c r="C811" t="s">
        <v>838</v>
      </c>
      <c r="D811" t="s">
        <v>12</v>
      </c>
      <c r="E811">
        <v>59</v>
      </c>
      <c r="F811" t="s">
        <v>20</v>
      </c>
      <c r="G811">
        <v>4</v>
      </c>
      <c r="H811">
        <v>25</v>
      </c>
      <c r="I811">
        <v>100</v>
      </c>
      <c r="J811" t="str">
        <f t="shared" si="12"/>
        <v>46-60</v>
      </c>
      <c r="M811" s="6" t="s">
        <v>802</v>
      </c>
      <c r="N811">
        <v>50</v>
      </c>
      <c r="V811" s="6">
        <v>794</v>
      </c>
      <c r="W811">
        <v>300</v>
      </c>
      <c r="Y811" s="6">
        <v>809</v>
      </c>
      <c r="Z811">
        <v>100</v>
      </c>
      <c r="AB811" s="6">
        <v>795</v>
      </c>
      <c r="AC811">
        <v>1</v>
      </c>
    </row>
    <row r="812" spans="1:29" x14ac:dyDescent="0.25">
      <c r="A812">
        <v>811</v>
      </c>
      <c r="B812" s="1">
        <v>45065</v>
      </c>
      <c r="C812" t="s">
        <v>839</v>
      </c>
      <c r="D812" t="s">
        <v>12</v>
      </c>
      <c r="E812">
        <v>61</v>
      </c>
      <c r="F812" t="s">
        <v>13</v>
      </c>
      <c r="G812">
        <v>2</v>
      </c>
      <c r="H812">
        <v>25</v>
      </c>
      <c r="I812">
        <v>50</v>
      </c>
      <c r="J812" t="b">
        <f t="shared" si="12"/>
        <v>0</v>
      </c>
      <c r="M812" s="6" t="s">
        <v>765</v>
      </c>
      <c r="N812">
        <v>50</v>
      </c>
      <c r="V812" s="6">
        <v>795</v>
      </c>
      <c r="W812">
        <v>300</v>
      </c>
      <c r="Y812" s="6">
        <v>810</v>
      </c>
      <c r="Z812">
        <v>100</v>
      </c>
      <c r="AB812" s="6">
        <v>796</v>
      </c>
      <c r="AC812">
        <v>4</v>
      </c>
    </row>
    <row r="813" spans="1:29" x14ac:dyDescent="0.25">
      <c r="A813">
        <v>812</v>
      </c>
      <c r="B813" s="1">
        <v>45242</v>
      </c>
      <c r="C813" t="s">
        <v>840</v>
      </c>
      <c r="D813" t="s">
        <v>12</v>
      </c>
      <c r="E813">
        <v>19</v>
      </c>
      <c r="F813" t="s">
        <v>20</v>
      </c>
      <c r="G813">
        <v>3</v>
      </c>
      <c r="H813">
        <v>25</v>
      </c>
      <c r="I813">
        <v>75</v>
      </c>
      <c r="J813" t="str">
        <f t="shared" si="12"/>
        <v>18-25</v>
      </c>
      <c r="M813" s="6" t="s">
        <v>910</v>
      </c>
      <c r="N813">
        <v>50</v>
      </c>
      <c r="V813" s="6">
        <v>796</v>
      </c>
      <c r="W813">
        <v>120</v>
      </c>
      <c r="Y813" s="6">
        <v>811</v>
      </c>
      <c r="Z813">
        <v>50</v>
      </c>
      <c r="AB813" s="6">
        <v>797</v>
      </c>
      <c r="AC813">
        <v>3</v>
      </c>
    </row>
    <row r="814" spans="1:29" x14ac:dyDescent="0.25">
      <c r="A814">
        <v>813</v>
      </c>
      <c r="B814" s="1">
        <v>45202</v>
      </c>
      <c r="C814" t="s">
        <v>841</v>
      </c>
      <c r="D814" t="s">
        <v>12</v>
      </c>
      <c r="E814">
        <v>52</v>
      </c>
      <c r="F814" t="s">
        <v>20</v>
      </c>
      <c r="G814">
        <v>3</v>
      </c>
      <c r="H814">
        <v>50</v>
      </c>
      <c r="I814">
        <v>150</v>
      </c>
      <c r="J814" t="str">
        <f t="shared" si="12"/>
        <v>46-60</v>
      </c>
      <c r="M814" s="6" t="s">
        <v>921</v>
      </c>
      <c r="N814">
        <v>50</v>
      </c>
      <c r="V814" s="6">
        <v>797</v>
      </c>
      <c r="W814">
        <v>75</v>
      </c>
      <c r="Y814" s="6">
        <v>812</v>
      </c>
      <c r="Z814">
        <v>75</v>
      </c>
      <c r="AB814" s="6">
        <v>798</v>
      </c>
      <c r="AC814">
        <v>1</v>
      </c>
    </row>
    <row r="815" spans="1:29" x14ac:dyDescent="0.25">
      <c r="A815">
        <v>814</v>
      </c>
      <c r="B815" s="1">
        <v>45174</v>
      </c>
      <c r="C815" t="s">
        <v>842</v>
      </c>
      <c r="D815" t="s">
        <v>16</v>
      </c>
      <c r="E815">
        <v>59</v>
      </c>
      <c r="F815" t="s">
        <v>17</v>
      </c>
      <c r="G815">
        <v>1</v>
      </c>
      <c r="H815">
        <v>500</v>
      </c>
      <c r="I815">
        <v>500</v>
      </c>
      <c r="J815" t="str">
        <f t="shared" si="12"/>
        <v>46-60</v>
      </c>
      <c r="M815" s="6" t="s">
        <v>779</v>
      </c>
      <c r="N815">
        <v>50</v>
      </c>
      <c r="V815" s="6">
        <v>798</v>
      </c>
      <c r="W815">
        <v>50</v>
      </c>
      <c r="Y815" s="6">
        <v>813</v>
      </c>
      <c r="Z815">
        <v>150</v>
      </c>
      <c r="AB815" s="6">
        <v>799</v>
      </c>
      <c r="AC815">
        <v>2</v>
      </c>
    </row>
    <row r="816" spans="1:29" x14ac:dyDescent="0.25">
      <c r="A816">
        <v>815</v>
      </c>
      <c r="B816" s="1">
        <v>45165</v>
      </c>
      <c r="C816" t="s">
        <v>843</v>
      </c>
      <c r="D816" t="s">
        <v>16</v>
      </c>
      <c r="E816">
        <v>51</v>
      </c>
      <c r="F816" t="s">
        <v>17</v>
      </c>
      <c r="G816">
        <v>3</v>
      </c>
      <c r="H816">
        <v>25</v>
      </c>
      <c r="I816">
        <v>75</v>
      </c>
      <c r="J816" t="str">
        <f t="shared" si="12"/>
        <v>46-60</v>
      </c>
      <c r="M816" s="6" t="s">
        <v>758</v>
      </c>
      <c r="N816">
        <v>50</v>
      </c>
      <c r="V816" s="6">
        <v>799</v>
      </c>
      <c r="W816">
        <v>100</v>
      </c>
      <c r="Y816" s="6">
        <v>814</v>
      </c>
      <c r="Z816">
        <v>500</v>
      </c>
      <c r="AB816" s="6">
        <v>800</v>
      </c>
      <c r="AC816">
        <v>4</v>
      </c>
    </row>
    <row r="817" spans="1:29" x14ac:dyDescent="0.25">
      <c r="A817">
        <v>816</v>
      </c>
      <c r="B817" s="1">
        <v>45150</v>
      </c>
      <c r="C817" t="s">
        <v>844</v>
      </c>
      <c r="D817" t="s">
        <v>12</v>
      </c>
      <c r="E817">
        <v>47</v>
      </c>
      <c r="F817" t="s">
        <v>13</v>
      </c>
      <c r="G817">
        <v>2</v>
      </c>
      <c r="H817">
        <v>500</v>
      </c>
      <c r="I817">
        <v>1000</v>
      </c>
      <c r="J817" t="str">
        <f t="shared" si="12"/>
        <v>46-60</v>
      </c>
      <c r="M817" s="6" t="s">
        <v>891</v>
      </c>
      <c r="N817">
        <v>50</v>
      </c>
      <c r="V817" s="6">
        <v>800</v>
      </c>
      <c r="W817">
        <v>1200</v>
      </c>
      <c r="Y817" s="6">
        <v>815</v>
      </c>
      <c r="Z817">
        <v>75</v>
      </c>
      <c r="AB817" s="6">
        <v>801</v>
      </c>
      <c r="AC817">
        <v>4</v>
      </c>
    </row>
    <row r="818" spans="1:29" x14ac:dyDescent="0.25">
      <c r="A818">
        <v>817</v>
      </c>
      <c r="B818" s="1">
        <v>45230</v>
      </c>
      <c r="C818" t="s">
        <v>845</v>
      </c>
      <c r="D818" t="s">
        <v>12</v>
      </c>
      <c r="E818">
        <v>30</v>
      </c>
      <c r="F818" t="s">
        <v>13</v>
      </c>
      <c r="G818">
        <v>4</v>
      </c>
      <c r="H818">
        <v>50</v>
      </c>
      <c r="I818">
        <v>200</v>
      </c>
      <c r="J818" t="str">
        <f t="shared" si="12"/>
        <v>26-35</v>
      </c>
      <c r="M818" s="6" t="s">
        <v>882</v>
      </c>
      <c r="N818">
        <v>50</v>
      </c>
      <c r="V818" s="6">
        <v>801</v>
      </c>
      <c r="W818">
        <v>200</v>
      </c>
      <c r="Y818" s="6">
        <v>816</v>
      </c>
      <c r="Z818">
        <v>1000</v>
      </c>
      <c r="AB818" s="6">
        <v>802</v>
      </c>
      <c r="AC818">
        <v>1</v>
      </c>
    </row>
    <row r="819" spans="1:29" x14ac:dyDescent="0.25">
      <c r="A819">
        <v>818</v>
      </c>
      <c r="B819" s="1">
        <v>45064</v>
      </c>
      <c r="C819" t="s">
        <v>846</v>
      </c>
      <c r="D819" t="s">
        <v>12</v>
      </c>
      <c r="E819">
        <v>30</v>
      </c>
      <c r="F819" t="s">
        <v>20</v>
      </c>
      <c r="G819">
        <v>1</v>
      </c>
      <c r="H819">
        <v>500</v>
      </c>
      <c r="I819">
        <v>500</v>
      </c>
      <c r="J819" t="str">
        <f t="shared" si="12"/>
        <v>26-35</v>
      </c>
      <c r="M819" s="6" t="s">
        <v>991</v>
      </c>
      <c r="N819">
        <v>50</v>
      </c>
      <c r="V819" s="6">
        <v>802</v>
      </c>
      <c r="W819">
        <v>30</v>
      </c>
      <c r="Y819" s="6">
        <v>817</v>
      </c>
      <c r="Z819">
        <v>200</v>
      </c>
      <c r="AB819" s="6">
        <v>803</v>
      </c>
      <c r="AC819">
        <v>4</v>
      </c>
    </row>
    <row r="820" spans="1:29" x14ac:dyDescent="0.25">
      <c r="A820">
        <v>819</v>
      </c>
      <c r="B820" s="1">
        <v>45092</v>
      </c>
      <c r="C820" t="s">
        <v>847</v>
      </c>
      <c r="D820" t="s">
        <v>16</v>
      </c>
      <c r="E820">
        <v>35</v>
      </c>
      <c r="F820" t="s">
        <v>13</v>
      </c>
      <c r="G820">
        <v>2</v>
      </c>
      <c r="H820">
        <v>50</v>
      </c>
      <c r="I820">
        <v>100</v>
      </c>
      <c r="J820" t="str">
        <f t="shared" si="12"/>
        <v>26-35</v>
      </c>
      <c r="M820" s="6" t="s">
        <v>924</v>
      </c>
      <c r="N820">
        <v>50</v>
      </c>
      <c r="V820" s="6">
        <v>803</v>
      </c>
      <c r="W820">
        <v>100</v>
      </c>
      <c r="Y820" s="6">
        <v>818</v>
      </c>
      <c r="Z820">
        <v>500</v>
      </c>
      <c r="AB820" s="6">
        <v>804</v>
      </c>
      <c r="AC820">
        <v>1</v>
      </c>
    </row>
    <row r="821" spans="1:29" x14ac:dyDescent="0.25">
      <c r="A821">
        <v>820</v>
      </c>
      <c r="B821" s="1">
        <v>45052</v>
      </c>
      <c r="C821" t="s">
        <v>848</v>
      </c>
      <c r="D821" t="s">
        <v>12</v>
      </c>
      <c r="E821">
        <v>49</v>
      </c>
      <c r="F821" t="s">
        <v>20</v>
      </c>
      <c r="G821">
        <v>4</v>
      </c>
      <c r="H821">
        <v>50</v>
      </c>
      <c r="I821">
        <v>200</v>
      </c>
      <c r="J821" t="str">
        <f t="shared" si="12"/>
        <v>46-60</v>
      </c>
      <c r="M821" s="6" t="s">
        <v>740</v>
      </c>
      <c r="N821">
        <v>50</v>
      </c>
      <c r="V821" s="6">
        <v>804</v>
      </c>
      <c r="W821">
        <v>30</v>
      </c>
      <c r="Y821" s="6">
        <v>819</v>
      </c>
      <c r="Z821">
        <v>100</v>
      </c>
      <c r="AB821" s="6">
        <v>805</v>
      </c>
      <c r="AC821">
        <v>3</v>
      </c>
    </row>
    <row r="822" spans="1:29" x14ac:dyDescent="0.25">
      <c r="A822">
        <v>821</v>
      </c>
      <c r="B822" s="1">
        <v>44971</v>
      </c>
      <c r="C822" t="s">
        <v>849</v>
      </c>
      <c r="D822" t="s">
        <v>12</v>
      </c>
      <c r="E822">
        <v>49</v>
      </c>
      <c r="F822" t="s">
        <v>20</v>
      </c>
      <c r="G822">
        <v>1</v>
      </c>
      <c r="H822">
        <v>300</v>
      </c>
      <c r="I822">
        <v>300</v>
      </c>
      <c r="J822" t="str">
        <f t="shared" si="12"/>
        <v>46-60</v>
      </c>
      <c r="M822" s="6" t="s">
        <v>885</v>
      </c>
      <c r="N822">
        <v>50</v>
      </c>
      <c r="V822" s="6">
        <v>805</v>
      </c>
      <c r="W822">
        <v>1500</v>
      </c>
      <c r="Y822" s="6">
        <v>820</v>
      </c>
      <c r="Z822">
        <v>200</v>
      </c>
      <c r="AB822" s="6">
        <v>806</v>
      </c>
      <c r="AC822">
        <v>3</v>
      </c>
    </row>
    <row r="823" spans="1:29" x14ac:dyDescent="0.25">
      <c r="A823">
        <v>822</v>
      </c>
      <c r="B823" s="1">
        <v>45069</v>
      </c>
      <c r="C823" t="s">
        <v>850</v>
      </c>
      <c r="D823" t="s">
        <v>16</v>
      </c>
      <c r="E823">
        <v>52</v>
      </c>
      <c r="F823" t="s">
        <v>13</v>
      </c>
      <c r="G823">
        <v>3</v>
      </c>
      <c r="H823">
        <v>50</v>
      </c>
      <c r="I823">
        <v>150</v>
      </c>
      <c r="J823" t="str">
        <f t="shared" si="12"/>
        <v>46-60</v>
      </c>
      <c r="M823" s="6" t="s">
        <v>944</v>
      </c>
      <c r="N823">
        <v>50</v>
      </c>
      <c r="V823" s="6">
        <v>806</v>
      </c>
      <c r="W823">
        <v>900</v>
      </c>
      <c r="Y823" s="6">
        <v>821</v>
      </c>
      <c r="Z823">
        <v>300</v>
      </c>
      <c r="AB823" s="6">
        <v>807</v>
      </c>
      <c r="AC823">
        <v>4</v>
      </c>
    </row>
    <row r="824" spans="1:29" x14ac:dyDescent="0.25">
      <c r="A824">
        <v>823</v>
      </c>
      <c r="B824" s="1">
        <v>45157</v>
      </c>
      <c r="C824" t="s">
        <v>851</v>
      </c>
      <c r="D824" t="s">
        <v>16</v>
      </c>
      <c r="E824">
        <v>56</v>
      </c>
      <c r="F824" t="s">
        <v>20</v>
      </c>
      <c r="G824">
        <v>2</v>
      </c>
      <c r="H824">
        <v>50</v>
      </c>
      <c r="I824">
        <v>100</v>
      </c>
      <c r="J824" t="str">
        <f t="shared" si="12"/>
        <v>46-60</v>
      </c>
      <c r="M824" s="6" t="s">
        <v>874</v>
      </c>
      <c r="N824">
        <v>50</v>
      </c>
      <c r="V824" s="6">
        <v>807</v>
      </c>
      <c r="W824">
        <v>200</v>
      </c>
      <c r="Y824" s="6">
        <v>822</v>
      </c>
      <c r="Z824">
        <v>150</v>
      </c>
      <c r="AB824" s="6">
        <v>808</v>
      </c>
      <c r="AC824">
        <v>4</v>
      </c>
    </row>
    <row r="825" spans="1:29" x14ac:dyDescent="0.25">
      <c r="A825">
        <v>824</v>
      </c>
      <c r="B825" s="1">
        <v>45051</v>
      </c>
      <c r="C825" t="s">
        <v>852</v>
      </c>
      <c r="D825" t="s">
        <v>12</v>
      </c>
      <c r="E825">
        <v>63</v>
      </c>
      <c r="F825" t="s">
        <v>17</v>
      </c>
      <c r="G825">
        <v>4</v>
      </c>
      <c r="H825">
        <v>30</v>
      </c>
      <c r="I825">
        <v>120</v>
      </c>
      <c r="J825" t="b">
        <f t="shared" si="12"/>
        <v>0</v>
      </c>
      <c r="M825" s="6" t="s">
        <v>722</v>
      </c>
      <c r="N825">
        <v>50</v>
      </c>
      <c r="V825" s="6">
        <v>808</v>
      </c>
      <c r="W825">
        <v>2000</v>
      </c>
      <c r="Y825" s="6">
        <v>823</v>
      </c>
      <c r="Z825">
        <v>100</v>
      </c>
      <c r="AB825" s="6">
        <v>809</v>
      </c>
      <c r="AC825">
        <v>2</v>
      </c>
    </row>
    <row r="826" spans="1:29" x14ac:dyDescent="0.25">
      <c r="A826">
        <v>825</v>
      </c>
      <c r="B826" s="1">
        <v>45164</v>
      </c>
      <c r="C826" t="s">
        <v>853</v>
      </c>
      <c r="D826" t="s">
        <v>16</v>
      </c>
      <c r="E826">
        <v>46</v>
      </c>
      <c r="F826" t="s">
        <v>13</v>
      </c>
      <c r="G826">
        <v>1</v>
      </c>
      <c r="H826">
        <v>25</v>
      </c>
      <c r="I826">
        <v>25</v>
      </c>
      <c r="J826" t="str">
        <f t="shared" si="12"/>
        <v>46-60</v>
      </c>
      <c r="M826" s="6" t="s">
        <v>713</v>
      </c>
      <c r="N826">
        <v>50</v>
      </c>
      <c r="V826" s="6">
        <v>809</v>
      </c>
      <c r="W826">
        <v>100</v>
      </c>
      <c r="Y826" s="6">
        <v>824</v>
      </c>
      <c r="Z826">
        <v>120</v>
      </c>
      <c r="AB826" s="6">
        <v>810</v>
      </c>
      <c r="AC826">
        <v>4</v>
      </c>
    </row>
    <row r="827" spans="1:29" x14ac:dyDescent="0.25">
      <c r="A827">
        <v>826</v>
      </c>
      <c r="B827" s="1">
        <v>45218</v>
      </c>
      <c r="C827" t="s">
        <v>854</v>
      </c>
      <c r="D827" t="s">
        <v>16</v>
      </c>
      <c r="E827">
        <v>46</v>
      </c>
      <c r="F827" t="s">
        <v>17</v>
      </c>
      <c r="G827">
        <v>1</v>
      </c>
      <c r="H827">
        <v>300</v>
      </c>
      <c r="I827">
        <v>300</v>
      </c>
      <c r="J827" t="str">
        <f t="shared" si="12"/>
        <v>46-60</v>
      </c>
      <c r="M827" s="6" t="s">
        <v>826</v>
      </c>
      <c r="N827">
        <v>50</v>
      </c>
      <c r="V827" s="6">
        <v>810</v>
      </c>
      <c r="W827">
        <v>100</v>
      </c>
      <c r="Y827" s="6">
        <v>825</v>
      </c>
      <c r="Z827">
        <v>25</v>
      </c>
      <c r="AB827" s="6">
        <v>811</v>
      </c>
      <c r="AC827">
        <v>2</v>
      </c>
    </row>
    <row r="828" spans="1:29" x14ac:dyDescent="0.25">
      <c r="A828">
        <v>827</v>
      </c>
      <c r="B828" s="1">
        <v>45239</v>
      </c>
      <c r="C828" t="s">
        <v>855</v>
      </c>
      <c r="D828" t="s">
        <v>12</v>
      </c>
      <c r="E828">
        <v>61</v>
      </c>
      <c r="F828" t="s">
        <v>13</v>
      </c>
      <c r="G828">
        <v>3</v>
      </c>
      <c r="H828">
        <v>300</v>
      </c>
      <c r="I828">
        <v>900</v>
      </c>
      <c r="J828" t="b">
        <f t="shared" si="12"/>
        <v>0</v>
      </c>
      <c r="M828" s="6" t="s">
        <v>930</v>
      </c>
      <c r="N828">
        <v>50</v>
      </c>
      <c r="V828" s="6">
        <v>811</v>
      </c>
      <c r="W828">
        <v>50</v>
      </c>
      <c r="Y828" s="6">
        <v>826</v>
      </c>
      <c r="Z828">
        <v>300</v>
      </c>
      <c r="AB828" s="6">
        <v>812</v>
      </c>
      <c r="AC828">
        <v>3</v>
      </c>
    </row>
    <row r="829" spans="1:29" x14ac:dyDescent="0.25">
      <c r="A829">
        <v>828</v>
      </c>
      <c r="B829" s="1">
        <v>45269</v>
      </c>
      <c r="C829" t="s">
        <v>856</v>
      </c>
      <c r="D829" t="s">
        <v>16</v>
      </c>
      <c r="E829">
        <v>33</v>
      </c>
      <c r="F829" t="s">
        <v>20</v>
      </c>
      <c r="G829">
        <v>4</v>
      </c>
      <c r="H829">
        <v>300</v>
      </c>
      <c r="I829">
        <v>1200</v>
      </c>
      <c r="J829" t="str">
        <f t="shared" si="12"/>
        <v>26-35</v>
      </c>
      <c r="M829" s="6" t="s">
        <v>879</v>
      </c>
      <c r="N829">
        <v>50</v>
      </c>
      <c r="V829" s="6">
        <v>812</v>
      </c>
      <c r="W829">
        <v>75</v>
      </c>
      <c r="Y829" s="6">
        <v>827</v>
      </c>
      <c r="Z829">
        <v>900</v>
      </c>
      <c r="AB829" s="6">
        <v>813</v>
      </c>
      <c r="AC829">
        <v>3</v>
      </c>
    </row>
    <row r="830" spans="1:29" x14ac:dyDescent="0.25">
      <c r="A830">
        <v>829</v>
      </c>
      <c r="B830" s="1">
        <v>45121</v>
      </c>
      <c r="C830" t="s">
        <v>857</v>
      </c>
      <c r="D830" t="s">
        <v>12</v>
      </c>
      <c r="E830">
        <v>61</v>
      </c>
      <c r="F830" t="s">
        <v>13</v>
      </c>
      <c r="G830">
        <v>3</v>
      </c>
      <c r="H830">
        <v>30</v>
      </c>
      <c r="I830">
        <v>90</v>
      </c>
      <c r="J830" t="b">
        <f t="shared" si="12"/>
        <v>0</v>
      </c>
      <c r="M830" s="6" t="s">
        <v>798</v>
      </c>
      <c r="N830">
        <v>50</v>
      </c>
      <c r="V830" s="6">
        <v>813</v>
      </c>
      <c r="W830">
        <v>150</v>
      </c>
      <c r="Y830" s="6">
        <v>828</v>
      </c>
      <c r="Z830">
        <v>1200</v>
      </c>
      <c r="AB830" s="6">
        <v>814</v>
      </c>
      <c r="AC830">
        <v>1</v>
      </c>
    </row>
    <row r="831" spans="1:29" x14ac:dyDescent="0.25">
      <c r="A831">
        <v>830</v>
      </c>
      <c r="B831" s="1">
        <v>45099</v>
      </c>
      <c r="C831" t="s">
        <v>858</v>
      </c>
      <c r="D831" t="s">
        <v>16</v>
      </c>
      <c r="E831">
        <v>64</v>
      </c>
      <c r="F831" t="s">
        <v>17</v>
      </c>
      <c r="G831">
        <v>3</v>
      </c>
      <c r="H831">
        <v>50</v>
      </c>
      <c r="I831">
        <v>150</v>
      </c>
      <c r="J831" t="b">
        <f t="shared" si="12"/>
        <v>0</v>
      </c>
      <c r="M831" s="6" t="s">
        <v>521</v>
      </c>
      <c r="N831">
        <v>50</v>
      </c>
      <c r="V831" s="6">
        <v>814</v>
      </c>
      <c r="W831">
        <v>500</v>
      </c>
      <c r="Y831" s="6">
        <v>829</v>
      </c>
      <c r="Z831">
        <v>90</v>
      </c>
      <c r="AB831" s="6">
        <v>815</v>
      </c>
      <c r="AC831">
        <v>3</v>
      </c>
    </row>
    <row r="832" spans="1:29" x14ac:dyDescent="0.25">
      <c r="A832">
        <v>831</v>
      </c>
      <c r="B832" s="1">
        <v>44941</v>
      </c>
      <c r="C832" t="s">
        <v>859</v>
      </c>
      <c r="D832" t="s">
        <v>12</v>
      </c>
      <c r="E832">
        <v>27</v>
      </c>
      <c r="F832" t="s">
        <v>20</v>
      </c>
      <c r="G832">
        <v>4</v>
      </c>
      <c r="H832">
        <v>25</v>
      </c>
      <c r="I832">
        <v>100</v>
      </c>
      <c r="J832" t="str">
        <f t="shared" si="12"/>
        <v>26-35</v>
      </c>
      <c r="M832" s="6" t="s">
        <v>646</v>
      </c>
      <c r="N832">
        <v>50</v>
      </c>
      <c r="V832" s="6">
        <v>815</v>
      </c>
      <c r="W832">
        <v>75</v>
      </c>
      <c r="Y832" s="6">
        <v>830</v>
      </c>
      <c r="Z832">
        <v>150</v>
      </c>
      <c r="AB832" s="6">
        <v>816</v>
      </c>
      <c r="AC832">
        <v>2</v>
      </c>
    </row>
    <row r="833" spans="1:29" x14ac:dyDescent="0.25">
      <c r="A833">
        <v>832</v>
      </c>
      <c r="B833" s="1">
        <v>45180</v>
      </c>
      <c r="C833" t="s">
        <v>860</v>
      </c>
      <c r="D833" t="s">
        <v>12</v>
      </c>
      <c r="E833">
        <v>47</v>
      </c>
      <c r="F833" t="s">
        <v>13</v>
      </c>
      <c r="G833">
        <v>4</v>
      </c>
      <c r="H833">
        <v>500</v>
      </c>
      <c r="I833">
        <v>2000</v>
      </c>
      <c r="J833" t="str">
        <f t="shared" si="12"/>
        <v>46-60</v>
      </c>
      <c r="M833" s="6" t="s">
        <v>588</v>
      </c>
      <c r="N833">
        <v>50</v>
      </c>
      <c r="V833" s="6">
        <v>816</v>
      </c>
      <c r="W833">
        <v>1000</v>
      </c>
      <c r="Y833" s="6">
        <v>831</v>
      </c>
      <c r="Z833">
        <v>100</v>
      </c>
      <c r="AB833" s="6">
        <v>817</v>
      </c>
      <c r="AC833">
        <v>4</v>
      </c>
    </row>
    <row r="834" spans="1:29" x14ac:dyDescent="0.25">
      <c r="A834">
        <v>833</v>
      </c>
      <c r="B834" s="1">
        <v>45093</v>
      </c>
      <c r="C834" t="s">
        <v>861</v>
      </c>
      <c r="D834" t="s">
        <v>12</v>
      </c>
      <c r="E834">
        <v>42</v>
      </c>
      <c r="F834" t="s">
        <v>13</v>
      </c>
      <c r="G834">
        <v>4</v>
      </c>
      <c r="H834">
        <v>50</v>
      </c>
      <c r="I834">
        <v>200</v>
      </c>
      <c r="J834" t="str">
        <f t="shared" si="12"/>
        <v>36-45</v>
      </c>
      <c r="M834" s="6" t="s">
        <v>462</v>
      </c>
      <c r="N834">
        <v>50</v>
      </c>
      <c r="V834" s="6">
        <v>817</v>
      </c>
      <c r="W834">
        <v>200</v>
      </c>
      <c r="Y834" s="6">
        <v>832</v>
      </c>
      <c r="Z834">
        <v>2000</v>
      </c>
      <c r="AB834" s="6">
        <v>818</v>
      </c>
      <c r="AC834">
        <v>1</v>
      </c>
    </row>
    <row r="835" spans="1:29" x14ac:dyDescent="0.25">
      <c r="A835">
        <v>834</v>
      </c>
      <c r="B835" s="1">
        <v>45020</v>
      </c>
      <c r="C835" t="s">
        <v>862</v>
      </c>
      <c r="D835" t="s">
        <v>16</v>
      </c>
      <c r="E835">
        <v>56</v>
      </c>
      <c r="F835" t="s">
        <v>13</v>
      </c>
      <c r="G835">
        <v>2</v>
      </c>
      <c r="H835">
        <v>30</v>
      </c>
      <c r="I835">
        <v>60</v>
      </c>
      <c r="J835" t="str">
        <f t="shared" ref="J835:J898" si="13">IF(AND(E835&gt;=18,E835&lt;=25),"18-25",IF(AND(E835&gt;=26,E835&lt;=35),"26-35",IF(AND(E835&gt;=36,E835&lt;=45),"36-45",IF(AND(E835&gt;=46,E835&lt;=60),"46-60"))))</f>
        <v>46-60</v>
      </c>
      <c r="M835" s="6" t="s">
        <v>533</v>
      </c>
      <c r="N835">
        <v>50</v>
      </c>
      <c r="V835" s="6">
        <v>818</v>
      </c>
      <c r="W835">
        <v>500</v>
      </c>
      <c r="Y835" s="6">
        <v>833</v>
      </c>
      <c r="Z835">
        <v>200</v>
      </c>
      <c r="AB835" s="6">
        <v>819</v>
      </c>
      <c r="AC835">
        <v>2</v>
      </c>
    </row>
    <row r="836" spans="1:29" x14ac:dyDescent="0.25">
      <c r="A836">
        <v>835</v>
      </c>
      <c r="B836" s="1">
        <v>45176</v>
      </c>
      <c r="C836" t="s">
        <v>863</v>
      </c>
      <c r="D836" t="s">
        <v>12</v>
      </c>
      <c r="E836">
        <v>37</v>
      </c>
      <c r="F836" t="s">
        <v>17</v>
      </c>
      <c r="G836">
        <v>4</v>
      </c>
      <c r="H836">
        <v>50</v>
      </c>
      <c r="I836">
        <v>200</v>
      </c>
      <c r="J836" t="str">
        <f t="shared" si="13"/>
        <v>36-45</v>
      </c>
      <c r="M836" s="6" t="s">
        <v>395</v>
      </c>
      <c r="N836">
        <v>50</v>
      </c>
      <c r="V836" s="6">
        <v>819</v>
      </c>
      <c r="W836">
        <v>100</v>
      </c>
      <c r="Y836" s="6">
        <v>834</v>
      </c>
      <c r="Z836">
        <v>60</v>
      </c>
      <c r="AB836" s="6">
        <v>820</v>
      </c>
      <c r="AC836">
        <v>4</v>
      </c>
    </row>
    <row r="837" spans="1:29" x14ac:dyDescent="0.25">
      <c r="A837">
        <v>836</v>
      </c>
      <c r="B837" s="1">
        <v>45035</v>
      </c>
      <c r="C837" t="s">
        <v>864</v>
      </c>
      <c r="D837" t="s">
        <v>16</v>
      </c>
      <c r="E837">
        <v>22</v>
      </c>
      <c r="F837" t="s">
        <v>17</v>
      </c>
      <c r="G837">
        <v>1</v>
      </c>
      <c r="H837">
        <v>50</v>
      </c>
      <c r="I837">
        <v>50</v>
      </c>
      <c r="J837" t="str">
        <f t="shared" si="13"/>
        <v>18-25</v>
      </c>
      <c r="M837" s="6" t="s">
        <v>367</v>
      </c>
      <c r="N837">
        <v>50</v>
      </c>
      <c r="V837" s="6">
        <v>820</v>
      </c>
      <c r="W837">
        <v>200</v>
      </c>
      <c r="Y837" s="6">
        <v>835</v>
      </c>
      <c r="Z837">
        <v>200</v>
      </c>
      <c r="AB837" s="6">
        <v>821</v>
      </c>
      <c r="AC837">
        <v>1</v>
      </c>
    </row>
    <row r="838" spans="1:29" x14ac:dyDescent="0.25">
      <c r="A838">
        <v>837</v>
      </c>
      <c r="B838" s="1">
        <v>45108</v>
      </c>
      <c r="C838" t="s">
        <v>865</v>
      </c>
      <c r="D838" t="s">
        <v>12</v>
      </c>
      <c r="E838">
        <v>18</v>
      </c>
      <c r="F838" t="s">
        <v>13</v>
      </c>
      <c r="G838">
        <v>3</v>
      </c>
      <c r="H838">
        <v>30</v>
      </c>
      <c r="I838">
        <v>90</v>
      </c>
      <c r="J838" t="str">
        <f t="shared" si="13"/>
        <v>18-25</v>
      </c>
      <c r="M838" s="6" t="s">
        <v>419</v>
      </c>
      <c r="N838">
        <v>50</v>
      </c>
      <c r="V838" s="6">
        <v>821</v>
      </c>
      <c r="W838">
        <v>300</v>
      </c>
      <c r="Y838" s="6">
        <v>836</v>
      </c>
      <c r="Z838">
        <v>50</v>
      </c>
      <c r="AB838" s="6">
        <v>822</v>
      </c>
      <c r="AC838">
        <v>3</v>
      </c>
    </row>
    <row r="839" spans="1:29" x14ac:dyDescent="0.25">
      <c r="A839">
        <v>838</v>
      </c>
      <c r="B839" s="1">
        <v>45059</v>
      </c>
      <c r="C839" t="s">
        <v>866</v>
      </c>
      <c r="D839" t="s">
        <v>12</v>
      </c>
      <c r="E839">
        <v>47</v>
      </c>
      <c r="F839" t="s">
        <v>20</v>
      </c>
      <c r="G839">
        <v>2</v>
      </c>
      <c r="H839">
        <v>300</v>
      </c>
      <c r="I839">
        <v>600</v>
      </c>
      <c r="J839" t="str">
        <f t="shared" si="13"/>
        <v>46-60</v>
      </c>
      <c r="M839" s="6" t="s">
        <v>602</v>
      </c>
      <c r="N839">
        <v>50</v>
      </c>
      <c r="V839" s="6">
        <v>822</v>
      </c>
      <c r="W839">
        <v>150</v>
      </c>
      <c r="Y839" s="6">
        <v>837</v>
      </c>
      <c r="Z839">
        <v>90</v>
      </c>
      <c r="AB839" s="6">
        <v>823</v>
      </c>
      <c r="AC839">
        <v>2</v>
      </c>
    </row>
    <row r="840" spans="1:29" x14ac:dyDescent="0.25">
      <c r="A840">
        <v>839</v>
      </c>
      <c r="B840" s="1">
        <v>45101</v>
      </c>
      <c r="C840" t="s">
        <v>867</v>
      </c>
      <c r="D840" t="s">
        <v>16</v>
      </c>
      <c r="E840">
        <v>20</v>
      </c>
      <c r="F840" t="s">
        <v>20</v>
      </c>
      <c r="G840">
        <v>4</v>
      </c>
      <c r="H840">
        <v>300</v>
      </c>
      <c r="I840">
        <v>1200</v>
      </c>
      <c r="J840" t="str">
        <f t="shared" si="13"/>
        <v>18-25</v>
      </c>
      <c r="M840" s="6" t="s">
        <v>655</v>
      </c>
      <c r="N840">
        <v>50</v>
      </c>
      <c r="V840" s="6">
        <v>823</v>
      </c>
      <c r="W840">
        <v>100</v>
      </c>
      <c r="Y840" s="6">
        <v>838</v>
      </c>
      <c r="Z840">
        <v>600</v>
      </c>
      <c r="AB840" s="6">
        <v>824</v>
      </c>
      <c r="AC840">
        <v>4</v>
      </c>
    </row>
    <row r="841" spans="1:29" x14ac:dyDescent="0.25">
      <c r="A841">
        <v>840</v>
      </c>
      <c r="B841" s="1">
        <v>45070</v>
      </c>
      <c r="C841" t="s">
        <v>868</v>
      </c>
      <c r="D841" t="s">
        <v>12</v>
      </c>
      <c r="E841">
        <v>62</v>
      </c>
      <c r="F841" t="s">
        <v>17</v>
      </c>
      <c r="G841">
        <v>2</v>
      </c>
      <c r="H841">
        <v>25</v>
      </c>
      <c r="I841">
        <v>50</v>
      </c>
      <c r="J841" t="b">
        <f t="shared" si="13"/>
        <v>0</v>
      </c>
      <c r="M841" s="6" t="s">
        <v>377</v>
      </c>
      <c r="N841">
        <v>50</v>
      </c>
      <c r="V841" s="6">
        <v>824</v>
      </c>
      <c r="W841">
        <v>120</v>
      </c>
      <c r="Y841" s="6">
        <v>839</v>
      </c>
      <c r="Z841">
        <v>1200</v>
      </c>
      <c r="AB841" s="6">
        <v>825</v>
      </c>
      <c r="AC841">
        <v>1</v>
      </c>
    </row>
    <row r="842" spans="1:29" x14ac:dyDescent="0.25">
      <c r="A842">
        <v>841</v>
      </c>
      <c r="B842" s="1">
        <v>45232</v>
      </c>
      <c r="C842" t="s">
        <v>869</v>
      </c>
      <c r="D842" t="s">
        <v>12</v>
      </c>
      <c r="E842">
        <v>31</v>
      </c>
      <c r="F842" t="s">
        <v>20</v>
      </c>
      <c r="G842">
        <v>4</v>
      </c>
      <c r="H842">
        <v>25</v>
      </c>
      <c r="I842">
        <v>100</v>
      </c>
      <c r="J842" t="str">
        <f t="shared" si="13"/>
        <v>26-35</v>
      </c>
      <c r="M842" s="6" t="s">
        <v>387</v>
      </c>
      <c r="N842">
        <v>50</v>
      </c>
      <c r="V842" s="6">
        <v>825</v>
      </c>
      <c r="W842">
        <v>25</v>
      </c>
      <c r="Y842" s="6">
        <v>840</v>
      </c>
      <c r="Z842">
        <v>50</v>
      </c>
      <c r="AB842" s="6">
        <v>826</v>
      </c>
      <c r="AC842">
        <v>1</v>
      </c>
    </row>
    <row r="843" spans="1:29" x14ac:dyDescent="0.25">
      <c r="A843">
        <v>842</v>
      </c>
      <c r="B843" s="1">
        <v>45286</v>
      </c>
      <c r="C843" t="s">
        <v>870</v>
      </c>
      <c r="D843" t="s">
        <v>16</v>
      </c>
      <c r="E843">
        <v>47</v>
      </c>
      <c r="F843" t="s">
        <v>17</v>
      </c>
      <c r="G843">
        <v>2</v>
      </c>
      <c r="H843">
        <v>300</v>
      </c>
      <c r="I843">
        <v>600</v>
      </c>
      <c r="J843" t="str">
        <f t="shared" si="13"/>
        <v>46-60</v>
      </c>
      <c r="M843" s="6" t="s">
        <v>584</v>
      </c>
      <c r="N843">
        <v>50</v>
      </c>
      <c r="V843" s="6">
        <v>826</v>
      </c>
      <c r="W843">
        <v>300</v>
      </c>
      <c r="Y843" s="6">
        <v>841</v>
      </c>
      <c r="Z843">
        <v>100</v>
      </c>
      <c r="AB843" s="6">
        <v>827</v>
      </c>
      <c r="AC843">
        <v>3</v>
      </c>
    </row>
    <row r="844" spans="1:29" x14ac:dyDescent="0.25">
      <c r="A844">
        <v>843</v>
      </c>
      <c r="B844" s="1">
        <v>45068</v>
      </c>
      <c r="C844" t="s">
        <v>871</v>
      </c>
      <c r="D844" t="s">
        <v>12</v>
      </c>
      <c r="E844">
        <v>21</v>
      </c>
      <c r="F844" t="s">
        <v>13</v>
      </c>
      <c r="G844">
        <v>3</v>
      </c>
      <c r="H844">
        <v>500</v>
      </c>
      <c r="I844">
        <v>1500</v>
      </c>
      <c r="J844" t="str">
        <f t="shared" si="13"/>
        <v>18-25</v>
      </c>
      <c r="M844" s="6" t="s">
        <v>657</v>
      </c>
      <c r="N844">
        <v>50</v>
      </c>
      <c r="V844" s="6">
        <v>827</v>
      </c>
      <c r="W844">
        <v>900</v>
      </c>
      <c r="Y844" s="6">
        <v>842</v>
      </c>
      <c r="Z844">
        <v>600</v>
      </c>
      <c r="AB844" s="6">
        <v>828</v>
      </c>
      <c r="AC844">
        <v>4</v>
      </c>
    </row>
    <row r="845" spans="1:29" x14ac:dyDescent="0.25">
      <c r="A845">
        <v>844</v>
      </c>
      <c r="B845" s="1">
        <v>45211</v>
      </c>
      <c r="C845" t="s">
        <v>872</v>
      </c>
      <c r="D845" t="s">
        <v>12</v>
      </c>
      <c r="E845">
        <v>35</v>
      </c>
      <c r="F845" t="s">
        <v>17</v>
      </c>
      <c r="G845">
        <v>3</v>
      </c>
      <c r="H845">
        <v>50</v>
      </c>
      <c r="I845">
        <v>150</v>
      </c>
      <c r="J845" t="str">
        <f t="shared" si="13"/>
        <v>26-35</v>
      </c>
      <c r="M845" s="6" t="s">
        <v>614</v>
      </c>
      <c r="N845">
        <v>50</v>
      </c>
      <c r="V845" s="6">
        <v>828</v>
      </c>
      <c r="W845">
        <v>1200</v>
      </c>
      <c r="Y845" s="6">
        <v>843</v>
      </c>
      <c r="Z845">
        <v>1500</v>
      </c>
      <c r="AB845" s="6">
        <v>829</v>
      </c>
      <c r="AC845">
        <v>3</v>
      </c>
    </row>
    <row r="846" spans="1:29" x14ac:dyDescent="0.25">
      <c r="A846">
        <v>845</v>
      </c>
      <c r="B846" s="1">
        <v>44932</v>
      </c>
      <c r="C846" t="s">
        <v>873</v>
      </c>
      <c r="D846" t="s">
        <v>12</v>
      </c>
      <c r="E846">
        <v>54</v>
      </c>
      <c r="F846" t="s">
        <v>17</v>
      </c>
      <c r="G846">
        <v>1</v>
      </c>
      <c r="H846">
        <v>500</v>
      </c>
      <c r="I846">
        <v>500</v>
      </c>
      <c r="J846" t="str">
        <f t="shared" si="13"/>
        <v>46-60</v>
      </c>
      <c r="M846" s="6" t="s">
        <v>478</v>
      </c>
      <c r="N846">
        <v>50</v>
      </c>
      <c r="V846" s="6">
        <v>829</v>
      </c>
      <c r="W846">
        <v>90</v>
      </c>
      <c r="Y846" s="6">
        <v>844</v>
      </c>
      <c r="Z846">
        <v>150</v>
      </c>
      <c r="AB846" s="6">
        <v>830</v>
      </c>
      <c r="AC846">
        <v>3</v>
      </c>
    </row>
    <row r="847" spans="1:29" x14ac:dyDescent="0.25">
      <c r="A847">
        <v>846</v>
      </c>
      <c r="B847" s="1">
        <v>45191</v>
      </c>
      <c r="C847" t="s">
        <v>874</v>
      </c>
      <c r="D847" t="s">
        <v>12</v>
      </c>
      <c r="E847">
        <v>42</v>
      </c>
      <c r="F847" t="s">
        <v>13</v>
      </c>
      <c r="G847">
        <v>1</v>
      </c>
      <c r="H847">
        <v>50</v>
      </c>
      <c r="I847">
        <v>50</v>
      </c>
      <c r="J847" t="str">
        <f t="shared" si="13"/>
        <v>36-45</v>
      </c>
      <c r="M847" s="6" t="s">
        <v>573</v>
      </c>
      <c r="N847">
        <v>50</v>
      </c>
      <c r="V847" s="6">
        <v>830</v>
      </c>
      <c r="W847">
        <v>150</v>
      </c>
      <c r="Y847" s="6">
        <v>845</v>
      </c>
      <c r="Z847">
        <v>500</v>
      </c>
      <c r="AB847" s="6">
        <v>831</v>
      </c>
      <c r="AC847">
        <v>4</v>
      </c>
    </row>
    <row r="848" spans="1:29" x14ac:dyDescent="0.25">
      <c r="A848">
        <v>847</v>
      </c>
      <c r="B848" s="1">
        <v>45024</v>
      </c>
      <c r="C848" t="s">
        <v>875</v>
      </c>
      <c r="D848" t="s">
        <v>16</v>
      </c>
      <c r="E848">
        <v>18</v>
      </c>
      <c r="F848" t="s">
        <v>20</v>
      </c>
      <c r="G848">
        <v>4</v>
      </c>
      <c r="H848">
        <v>300</v>
      </c>
      <c r="I848">
        <v>1200</v>
      </c>
      <c r="J848" t="str">
        <f t="shared" si="13"/>
        <v>18-25</v>
      </c>
      <c r="M848" s="6" t="s">
        <v>590</v>
      </c>
      <c r="N848">
        <v>50</v>
      </c>
      <c r="V848" s="6">
        <v>831</v>
      </c>
      <c r="W848">
        <v>100</v>
      </c>
      <c r="Y848" s="6">
        <v>846</v>
      </c>
      <c r="Z848">
        <v>50</v>
      </c>
      <c r="AB848" s="6">
        <v>832</v>
      </c>
      <c r="AC848">
        <v>4</v>
      </c>
    </row>
    <row r="849" spans="1:29" x14ac:dyDescent="0.25">
      <c r="A849">
        <v>848</v>
      </c>
      <c r="B849" s="1">
        <v>44970</v>
      </c>
      <c r="C849" t="s">
        <v>876</v>
      </c>
      <c r="D849" t="s">
        <v>16</v>
      </c>
      <c r="E849">
        <v>63</v>
      </c>
      <c r="F849" t="s">
        <v>17</v>
      </c>
      <c r="G849">
        <v>3</v>
      </c>
      <c r="H849">
        <v>25</v>
      </c>
      <c r="I849">
        <v>75</v>
      </c>
      <c r="J849" t="b">
        <f t="shared" si="13"/>
        <v>0</v>
      </c>
      <c r="M849" s="6" t="s">
        <v>457</v>
      </c>
      <c r="N849">
        <v>50</v>
      </c>
      <c r="V849" s="6">
        <v>832</v>
      </c>
      <c r="W849">
        <v>2000</v>
      </c>
      <c r="Y849" s="6">
        <v>847</v>
      </c>
      <c r="Z849">
        <v>1200</v>
      </c>
      <c r="AB849" s="6">
        <v>833</v>
      </c>
      <c r="AC849">
        <v>4</v>
      </c>
    </row>
    <row r="850" spans="1:29" x14ac:dyDescent="0.25">
      <c r="A850">
        <v>849</v>
      </c>
      <c r="B850" s="1">
        <v>45050</v>
      </c>
      <c r="C850" t="s">
        <v>877</v>
      </c>
      <c r="D850" t="s">
        <v>12</v>
      </c>
      <c r="E850">
        <v>32</v>
      </c>
      <c r="F850" t="s">
        <v>17</v>
      </c>
      <c r="G850">
        <v>2</v>
      </c>
      <c r="H850">
        <v>25</v>
      </c>
      <c r="I850">
        <v>50</v>
      </c>
      <c r="J850" t="str">
        <f t="shared" si="13"/>
        <v>26-35</v>
      </c>
      <c r="M850" s="6" t="s">
        <v>403</v>
      </c>
      <c r="N850">
        <v>50</v>
      </c>
      <c r="V850" s="6">
        <v>833</v>
      </c>
      <c r="W850">
        <v>200</v>
      </c>
      <c r="Y850" s="6">
        <v>848</v>
      </c>
      <c r="Z850">
        <v>75</v>
      </c>
      <c r="AB850" s="6">
        <v>834</v>
      </c>
      <c r="AC850">
        <v>2</v>
      </c>
    </row>
    <row r="851" spans="1:29" x14ac:dyDescent="0.25">
      <c r="A851">
        <v>850</v>
      </c>
      <c r="B851" s="1">
        <v>45135</v>
      </c>
      <c r="C851" t="s">
        <v>878</v>
      </c>
      <c r="D851" t="s">
        <v>16</v>
      </c>
      <c r="E851">
        <v>26</v>
      </c>
      <c r="F851" t="s">
        <v>13</v>
      </c>
      <c r="G851">
        <v>2</v>
      </c>
      <c r="H851">
        <v>500</v>
      </c>
      <c r="I851">
        <v>1000</v>
      </c>
      <c r="J851" t="str">
        <f t="shared" si="13"/>
        <v>26-35</v>
      </c>
      <c r="M851" s="6" t="s">
        <v>417</v>
      </c>
      <c r="N851">
        <v>50</v>
      </c>
      <c r="V851" s="6">
        <v>834</v>
      </c>
      <c r="W851">
        <v>60</v>
      </c>
      <c r="Y851" s="6">
        <v>849</v>
      </c>
      <c r="Z851">
        <v>50</v>
      </c>
      <c r="AB851" s="6">
        <v>835</v>
      </c>
      <c r="AC851">
        <v>4</v>
      </c>
    </row>
    <row r="852" spans="1:29" x14ac:dyDescent="0.25">
      <c r="A852">
        <v>851</v>
      </c>
      <c r="B852" s="1">
        <v>45177</v>
      </c>
      <c r="C852" t="s">
        <v>879</v>
      </c>
      <c r="D852" t="s">
        <v>12</v>
      </c>
      <c r="E852">
        <v>32</v>
      </c>
      <c r="F852" t="s">
        <v>20</v>
      </c>
      <c r="G852">
        <v>2</v>
      </c>
      <c r="H852">
        <v>25</v>
      </c>
      <c r="I852">
        <v>50</v>
      </c>
      <c r="J852" t="str">
        <f t="shared" si="13"/>
        <v>26-35</v>
      </c>
      <c r="M852" s="6" t="s">
        <v>371</v>
      </c>
      <c r="N852">
        <v>50</v>
      </c>
      <c r="V852" s="6">
        <v>835</v>
      </c>
      <c r="W852">
        <v>200</v>
      </c>
      <c r="Y852" s="6">
        <v>850</v>
      </c>
      <c r="Z852">
        <v>1000</v>
      </c>
      <c r="AB852" s="6">
        <v>836</v>
      </c>
      <c r="AC852">
        <v>1</v>
      </c>
    </row>
    <row r="853" spans="1:29" x14ac:dyDescent="0.25">
      <c r="A853">
        <v>852</v>
      </c>
      <c r="B853" s="1">
        <v>45211</v>
      </c>
      <c r="C853" t="s">
        <v>880</v>
      </c>
      <c r="D853" t="s">
        <v>16</v>
      </c>
      <c r="E853">
        <v>41</v>
      </c>
      <c r="F853" t="s">
        <v>17</v>
      </c>
      <c r="G853">
        <v>1</v>
      </c>
      <c r="H853">
        <v>300</v>
      </c>
      <c r="I853">
        <v>300</v>
      </c>
      <c r="J853" t="str">
        <f t="shared" si="13"/>
        <v>36-45</v>
      </c>
      <c r="M853" s="6" t="s">
        <v>553</v>
      </c>
      <c r="N853">
        <v>50</v>
      </c>
      <c r="V853" s="6">
        <v>836</v>
      </c>
      <c r="W853">
        <v>50</v>
      </c>
      <c r="Y853" s="6">
        <v>851</v>
      </c>
      <c r="Z853">
        <v>50</v>
      </c>
      <c r="AB853" s="6">
        <v>837</v>
      </c>
      <c r="AC853">
        <v>3</v>
      </c>
    </row>
    <row r="854" spans="1:29" x14ac:dyDescent="0.25">
      <c r="A854">
        <v>853</v>
      </c>
      <c r="B854" s="1">
        <v>45050</v>
      </c>
      <c r="C854" t="s">
        <v>881</v>
      </c>
      <c r="D854" t="s">
        <v>12</v>
      </c>
      <c r="E854">
        <v>21</v>
      </c>
      <c r="F854" t="s">
        <v>13</v>
      </c>
      <c r="G854">
        <v>2</v>
      </c>
      <c r="H854">
        <v>500</v>
      </c>
      <c r="I854">
        <v>1000</v>
      </c>
      <c r="J854" t="str">
        <f t="shared" si="13"/>
        <v>18-25</v>
      </c>
      <c r="M854" s="6" t="s">
        <v>501</v>
      </c>
      <c r="N854">
        <v>50</v>
      </c>
      <c r="V854" s="6">
        <v>837</v>
      </c>
      <c r="W854">
        <v>90</v>
      </c>
      <c r="Y854" s="6">
        <v>852</v>
      </c>
      <c r="Z854">
        <v>300</v>
      </c>
      <c r="AB854" s="6">
        <v>838</v>
      </c>
      <c r="AC854">
        <v>2</v>
      </c>
    </row>
    <row r="855" spans="1:29" x14ac:dyDescent="0.25">
      <c r="A855">
        <v>854</v>
      </c>
      <c r="B855" s="1">
        <v>45280</v>
      </c>
      <c r="C855" t="s">
        <v>882</v>
      </c>
      <c r="D855" t="s">
        <v>12</v>
      </c>
      <c r="E855">
        <v>29</v>
      </c>
      <c r="F855" t="s">
        <v>17</v>
      </c>
      <c r="G855">
        <v>1</v>
      </c>
      <c r="H855">
        <v>50</v>
      </c>
      <c r="I855">
        <v>50</v>
      </c>
      <c r="J855" t="str">
        <f t="shared" si="13"/>
        <v>26-35</v>
      </c>
      <c r="M855" s="6" t="s">
        <v>474</v>
      </c>
      <c r="N855">
        <v>50</v>
      </c>
      <c r="V855" s="6">
        <v>838</v>
      </c>
      <c r="W855">
        <v>600</v>
      </c>
      <c r="Y855" s="6">
        <v>853</v>
      </c>
      <c r="Z855">
        <v>1000</v>
      </c>
      <c r="AB855" s="6">
        <v>839</v>
      </c>
      <c r="AC855">
        <v>4</v>
      </c>
    </row>
    <row r="856" spans="1:29" x14ac:dyDescent="0.25">
      <c r="A856">
        <v>855</v>
      </c>
      <c r="B856" s="1">
        <v>45170</v>
      </c>
      <c r="C856" t="s">
        <v>883</v>
      </c>
      <c r="D856" t="s">
        <v>12</v>
      </c>
      <c r="E856">
        <v>54</v>
      </c>
      <c r="F856" t="s">
        <v>13</v>
      </c>
      <c r="G856">
        <v>1</v>
      </c>
      <c r="H856">
        <v>25</v>
      </c>
      <c r="I856">
        <v>25</v>
      </c>
      <c r="J856" t="str">
        <f t="shared" si="13"/>
        <v>46-60</v>
      </c>
      <c r="M856" s="6" t="s">
        <v>599</v>
      </c>
      <c r="N856">
        <v>50</v>
      </c>
      <c r="V856" s="6">
        <v>839</v>
      </c>
      <c r="W856">
        <v>1200</v>
      </c>
      <c r="Y856" s="6">
        <v>854</v>
      </c>
      <c r="Z856">
        <v>50</v>
      </c>
      <c r="AB856" s="6">
        <v>840</v>
      </c>
      <c r="AC856">
        <v>2</v>
      </c>
    </row>
    <row r="857" spans="1:29" x14ac:dyDescent="0.25">
      <c r="A857">
        <v>856</v>
      </c>
      <c r="B857" s="1">
        <v>45257</v>
      </c>
      <c r="C857" t="s">
        <v>884</v>
      </c>
      <c r="D857" t="s">
        <v>12</v>
      </c>
      <c r="E857">
        <v>54</v>
      </c>
      <c r="F857" t="s">
        <v>20</v>
      </c>
      <c r="G857">
        <v>4</v>
      </c>
      <c r="H857">
        <v>30</v>
      </c>
      <c r="I857">
        <v>120</v>
      </c>
      <c r="J857" t="str">
        <f t="shared" si="13"/>
        <v>46-60</v>
      </c>
      <c r="M857" s="6" t="s">
        <v>693</v>
      </c>
      <c r="N857">
        <v>50</v>
      </c>
      <c r="V857" s="6">
        <v>840</v>
      </c>
      <c r="W857">
        <v>50</v>
      </c>
      <c r="Y857" s="6">
        <v>855</v>
      </c>
      <c r="Z857">
        <v>25</v>
      </c>
      <c r="AB857" s="6">
        <v>841</v>
      </c>
      <c r="AC857">
        <v>4</v>
      </c>
    </row>
    <row r="858" spans="1:29" x14ac:dyDescent="0.25">
      <c r="A858">
        <v>857</v>
      </c>
      <c r="B858" s="1">
        <v>45291</v>
      </c>
      <c r="C858" t="s">
        <v>885</v>
      </c>
      <c r="D858" t="s">
        <v>12</v>
      </c>
      <c r="E858">
        <v>60</v>
      </c>
      <c r="F858" t="s">
        <v>20</v>
      </c>
      <c r="G858">
        <v>2</v>
      </c>
      <c r="H858">
        <v>25</v>
      </c>
      <c r="I858">
        <v>50</v>
      </c>
      <c r="J858" t="str">
        <f t="shared" si="13"/>
        <v>46-60</v>
      </c>
      <c r="M858" s="6" t="s">
        <v>634</v>
      </c>
      <c r="N858">
        <v>50</v>
      </c>
      <c r="V858" s="6">
        <v>841</v>
      </c>
      <c r="W858">
        <v>100</v>
      </c>
      <c r="Y858" s="6">
        <v>856</v>
      </c>
      <c r="Z858">
        <v>120</v>
      </c>
      <c r="AB858" s="6">
        <v>842</v>
      </c>
      <c r="AC858">
        <v>2</v>
      </c>
    </row>
    <row r="859" spans="1:29" x14ac:dyDescent="0.25">
      <c r="A859">
        <v>858</v>
      </c>
      <c r="B859" s="1">
        <v>45178</v>
      </c>
      <c r="C859" t="s">
        <v>886</v>
      </c>
      <c r="D859" t="s">
        <v>12</v>
      </c>
      <c r="E859">
        <v>23</v>
      </c>
      <c r="F859" t="s">
        <v>20</v>
      </c>
      <c r="G859">
        <v>2</v>
      </c>
      <c r="H859">
        <v>50</v>
      </c>
      <c r="I859">
        <v>100</v>
      </c>
      <c r="J859" t="str">
        <f t="shared" si="13"/>
        <v>18-25</v>
      </c>
      <c r="M859" s="6" t="s">
        <v>555</v>
      </c>
      <c r="N859">
        <v>50</v>
      </c>
      <c r="V859" s="6">
        <v>842</v>
      </c>
      <c r="W859">
        <v>600</v>
      </c>
      <c r="Y859" s="6">
        <v>857</v>
      </c>
      <c r="Z859">
        <v>50</v>
      </c>
      <c r="AB859" s="6">
        <v>843</v>
      </c>
      <c r="AC859">
        <v>3</v>
      </c>
    </row>
    <row r="860" spans="1:29" x14ac:dyDescent="0.25">
      <c r="A860">
        <v>859</v>
      </c>
      <c r="B860" s="1">
        <v>45156</v>
      </c>
      <c r="C860" t="s">
        <v>887</v>
      </c>
      <c r="D860" t="s">
        <v>16</v>
      </c>
      <c r="E860">
        <v>56</v>
      </c>
      <c r="F860" t="s">
        <v>20</v>
      </c>
      <c r="G860">
        <v>3</v>
      </c>
      <c r="H860">
        <v>500</v>
      </c>
      <c r="I860">
        <v>1500</v>
      </c>
      <c r="J860" t="str">
        <f t="shared" si="13"/>
        <v>46-60</v>
      </c>
      <c r="M860" s="6" t="s">
        <v>570</v>
      </c>
      <c r="N860">
        <v>50</v>
      </c>
      <c r="V860" s="6">
        <v>843</v>
      </c>
      <c r="W860">
        <v>1500</v>
      </c>
      <c r="Y860" s="6">
        <v>858</v>
      </c>
      <c r="Z860">
        <v>100</v>
      </c>
      <c r="AB860" s="6">
        <v>844</v>
      </c>
      <c r="AC860">
        <v>3</v>
      </c>
    </row>
    <row r="861" spans="1:29" x14ac:dyDescent="0.25">
      <c r="A861">
        <v>860</v>
      </c>
      <c r="B861" s="1">
        <v>44935</v>
      </c>
      <c r="C861" t="s">
        <v>888</v>
      </c>
      <c r="D861" t="s">
        <v>12</v>
      </c>
      <c r="E861">
        <v>63</v>
      </c>
      <c r="F861" t="s">
        <v>17</v>
      </c>
      <c r="G861">
        <v>4</v>
      </c>
      <c r="H861">
        <v>50</v>
      </c>
      <c r="I861">
        <v>200</v>
      </c>
      <c r="J861" t="b">
        <f t="shared" si="13"/>
        <v>0</v>
      </c>
      <c r="M861" s="6" t="s">
        <v>488</v>
      </c>
      <c r="N861">
        <v>50</v>
      </c>
      <c r="V861" s="6">
        <v>844</v>
      </c>
      <c r="W861">
        <v>150</v>
      </c>
      <c r="Y861" s="6">
        <v>859</v>
      </c>
      <c r="Z861">
        <v>1500</v>
      </c>
      <c r="AB861" s="6">
        <v>845</v>
      </c>
      <c r="AC861">
        <v>1</v>
      </c>
    </row>
    <row r="862" spans="1:29" x14ac:dyDescent="0.25">
      <c r="A862">
        <v>861</v>
      </c>
      <c r="B862" s="1">
        <v>44974</v>
      </c>
      <c r="C862" t="s">
        <v>889</v>
      </c>
      <c r="D862" t="s">
        <v>16</v>
      </c>
      <c r="E862">
        <v>41</v>
      </c>
      <c r="F862" t="s">
        <v>17</v>
      </c>
      <c r="G862">
        <v>3</v>
      </c>
      <c r="H862">
        <v>30</v>
      </c>
      <c r="I862">
        <v>90</v>
      </c>
      <c r="J862" t="str">
        <f t="shared" si="13"/>
        <v>36-45</v>
      </c>
      <c r="M862" s="6" t="s">
        <v>155</v>
      </c>
      <c r="N862">
        <v>50</v>
      </c>
      <c r="V862" s="6">
        <v>845</v>
      </c>
      <c r="W862">
        <v>500</v>
      </c>
      <c r="Y862" s="6">
        <v>860</v>
      </c>
      <c r="Z862">
        <v>200</v>
      </c>
      <c r="AB862" s="6">
        <v>846</v>
      </c>
      <c r="AC862">
        <v>1</v>
      </c>
    </row>
    <row r="863" spans="1:29" x14ac:dyDescent="0.25">
      <c r="A863">
        <v>862</v>
      </c>
      <c r="B863" s="1">
        <v>45077</v>
      </c>
      <c r="C863" t="s">
        <v>890</v>
      </c>
      <c r="D863" t="s">
        <v>12</v>
      </c>
      <c r="E863">
        <v>28</v>
      </c>
      <c r="F863" t="s">
        <v>20</v>
      </c>
      <c r="G863">
        <v>4</v>
      </c>
      <c r="H863">
        <v>300</v>
      </c>
      <c r="I863">
        <v>1200</v>
      </c>
      <c r="J863" t="str">
        <f t="shared" si="13"/>
        <v>26-35</v>
      </c>
      <c r="M863" s="6" t="s">
        <v>109</v>
      </c>
      <c r="N863">
        <v>50</v>
      </c>
      <c r="V863" s="6">
        <v>846</v>
      </c>
      <c r="W863">
        <v>50</v>
      </c>
      <c r="Y863" s="6">
        <v>861</v>
      </c>
      <c r="Z863">
        <v>90</v>
      </c>
      <c r="AB863" s="6">
        <v>847</v>
      </c>
      <c r="AC863">
        <v>4</v>
      </c>
    </row>
    <row r="864" spans="1:29" x14ac:dyDescent="0.25">
      <c r="A864">
        <v>863</v>
      </c>
      <c r="B864" s="1">
        <v>45040</v>
      </c>
      <c r="C864" t="s">
        <v>891</v>
      </c>
      <c r="D864" t="s">
        <v>16</v>
      </c>
      <c r="E864">
        <v>30</v>
      </c>
      <c r="F864" t="s">
        <v>20</v>
      </c>
      <c r="G864">
        <v>2</v>
      </c>
      <c r="H864">
        <v>25</v>
      </c>
      <c r="I864">
        <v>50</v>
      </c>
      <c r="J864" t="str">
        <f t="shared" si="13"/>
        <v>26-35</v>
      </c>
      <c r="M864" s="6" t="s">
        <v>334</v>
      </c>
      <c r="N864">
        <v>50</v>
      </c>
      <c r="V864" s="6">
        <v>847</v>
      </c>
      <c r="W864">
        <v>1200</v>
      </c>
      <c r="Y864" s="6">
        <v>862</v>
      </c>
      <c r="Z864">
        <v>1200</v>
      </c>
      <c r="AB864" s="6">
        <v>848</v>
      </c>
      <c r="AC864">
        <v>3</v>
      </c>
    </row>
    <row r="865" spans="1:29" x14ac:dyDescent="0.25">
      <c r="A865">
        <v>864</v>
      </c>
      <c r="B865" s="1">
        <v>45134</v>
      </c>
      <c r="C865" t="s">
        <v>892</v>
      </c>
      <c r="D865" t="s">
        <v>16</v>
      </c>
      <c r="E865">
        <v>51</v>
      </c>
      <c r="F865" t="s">
        <v>20</v>
      </c>
      <c r="G865">
        <v>1</v>
      </c>
      <c r="H865">
        <v>500</v>
      </c>
      <c r="I865">
        <v>500</v>
      </c>
      <c r="J865" t="str">
        <f t="shared" si="13"/>
        <v>46-60</v>
      </c>
      <c r="M865" s="6" t="s">
        <v>301</v>
      </c>
      <c r="N865">
        <v>50</v>
      </c>
      <c r="V865" s="6">
        <v>848</v>
      </c>
      <c r="W865">
        <v>75</v>
      </c>
      <c r="Y865" s="6">
        <v>863</v>
      </c>
      <c r="Z865">
        <v>50</v>
      </c>
      <c r="AB865" s="6">
        <v>849</v>
      </c>
      <c r="AC865">
        <v>2</v>
      </c>
    </row>
    <row r="866" spans="1:29" x14ac:dyDescent="0.25">
      <c r="A866">
        <v>865</v>
      </c>
      <c r="B866" s="1">
        <v>45281</v>
      </c>
      <c r="C866" t="s">
        <v>893</v>
      </c>
      <c r="D866" t="s">
        <v>16</v>
      </c>
      <c r="E866">
        <v>42</v>
      </c>
      <c r="F866" t="s">
        <v>17</v>
      </c>
      <c r="G866">
        <v>1</v>
      </c>
      <c r="H866">
        <v>300</v>
      </c>
      <c r="I866">
        <v>300</v>
      </c>
      <c r="J866" t="str">
        <f t="shared" si="13"/>
        <v>36-45</v>
      </c>
      <c r="M866" s="6" t="s">
        <v>198</v>
      </c>
      <c r="N866">
        <v>50</v>
      </c>
      <c r="V866" s="6">
        <v>849</v>
      </c>
      <c r="W866">
        <v>50</v>
      </c>
      <c r="Y866" s="6">
        <v>864</v>
      </c>
      <c r="Z866">
        <v>500</v>
      </c>
      <c r="AB866" s="6">
        <v>850</v>
      </c>
      <c r="AC866">
        <v>2</v>
      </c>
    </row>
    <row r="867" spans="1:29" x14ac:dyDescent="0.25">
      <c r="A867">
        <v>866</v>
      </c>
      <c r="B867" s="1">
        <v>45051</v>
      </c>
      <c r="C867" t="s">
        <v>894</v>
      </c>
      <c r="D867" t="s">
        <v>12</v>
      </c>
      <c r="E867">
        <v>24</v>
      </c>
      <c r="F867" t="s">
        <v>20</v>
      </c>
      <c r="G867">
        <v>1</v>
      </c>
      <c r="H867">
        <v>50</v>
      </c>
      <c r="I867">
        <v>50</v>
      </c>
      <c r="J867" t="str">
        <f t="shared" si="13"/>
        <v>18-25</v>
      </c>
      <c r="M867" s="6" t="s">
        <v>286</v>
      </c>
      <c r="N867">
        <v>50</v>
      </c>
      <c r="V867" s="6">
        <v>850</v>
      </c>
      <c r="W867">
        <v>1000</v>
      </c>
      <c r="Y867" s="6">
        <v>865</v>
      </c>
      <c r="Z867">
        <v>300</v>
      </c>
      <c r="AB867" s="6">
        <v>851</v>
      </c>
      <c r="AC867">
        <v>2</v>
      </c>
    </row>
    <row r="868" spans="1:29" x14ac:dyDescent="0.25">
      <c r="A868">
        <v>867</v>
      </c>
      <c r="B868" s="1">
        <v>45083</v>
      </c>
      <c r="C868" t="s">
        <v>895</v>
      </c>
      <c r="D868" t="s">
        <v>12</v>
      </c>
      <c r="E868">
        <v>21</v>
      </c>
      <c r="F868" t="s">
        <v>20</v>
      </c>
      <c r="G868">
        <v>1</v>
      </c>
      <c r="H868">
        <v>500</v>
      </c>
      <c r="I868">
        <v>500</v>
      </c>
      <c r="J868" t="str">
        <f t="shared" si="13"/>
        <v>18-25</v>
      </c>
      <c r="M868" s="6" t="s">
        <v>27</v>
      </c>
      <c r="N868">
        <v>50</v>
      </c>
      <c r="V868" s="6">
        <v>851</v>
      </c>
      <c r="W868">
        <v>50</v>
      </c>
      <c r="Y868" s="6">
        <v>866</v>
      </c>
      <c r="Z868">
        <v>50</v>
      </c>
      <c r="AB868" s="6">
        <v>852</v>
      </c>
      <c r="AC868">
        <v>1</v>
      </c>
    </row>
    <row r="869" spans="1:29" x14ac:dyDescent="0.25">
      <c r="A869">
        <v>868</v>
      </c>
      <c r="B869" s="1">
        <v>45266</v>
      </c>
      <c r="C869" t="s">
        <v>896</v>
      </c>
      <c r="D869" t="s">
        <v>16</v>
      </c>
      <c r="E869">
        <v>25</v>
      </c>
      <c r="F869" t="s">
        <v>20</v>
      </c>
      <c r="G869">
        <v>1</v>
      </c>
      <c r="H869">
        <v>300</v>
      </c>
      <c r="I869">
        <v>300</v>
      </c>
      <c r="J869" t="str">
        <f t="shared" si="13"/>
        <v>18-25</v>
      </c>
      <c r="M869" s="6" t="s">
        <v>51</v>
      </c>
      <c r="N869">
        <v>50</v>
      </c>
      <c r="V869" s="6">
        <v>852</v>
      </c>
      <c r="W869">
        <v>300</v>
      </c>
      <c r="Y869" s="6">
        <v>867</v>
      </c>
      <c r="Z869">
        <v>500</v>
      </c>
      <c r="AB869" s="6">
        <v>853</v>
      </c>
      <c r="AC869">
        <v>2</v>
      </c>
    </row>
    <row r="870" spans="1:29" x14ac:dyDescent="0.25">
      <c r="A870">
        <v>869</v>
      </c>
      <c r="B870" s="1">
        <v>45224</v>
      </c>
      <c r="C870" t="s">
        <v>897</v>
      </c>
      <c r="D870" t="s">
        <v>12</v>
      </c>
      <c r="E870">
        <v>37</v>
      </c>
      <c r="F870" t="s">
        <v>13</v>
      </c>
      <c r="G870">
        <v>3</v>
      </c>
      <c r="H870">
        <v>500</v>
      </c>
      <c r="I870">
        <v>1500</v>
      </c>
      <c r="J870" t="str">
        <f t="shared" si="13"/>
        <v>36-45</v>
      </c>
      <c r="M870" s="6" t="s">
        <v>235</v>
      </c>
      <c r="N870">
        <v>50</v>
      </c>
      <c r="V870" s="6">
        <v>853</v>
      </c>
      <c r="W870">
        <v>1000</v>
      </c>
      <c r="Y870" s="6">
        <v>868</v>
      </c>
      <c r="Z870">
        <v>300</v>
      </c>
      <c r="AB870" s="6">
        <v>854</v>
      </c>
      <c r="AC870">
        <v>1</v>
      </c>
    </row>
    <row r="871" spans="1:29" x14ac:dyDescent="0.25">
      <c r="A871">
        <v>870</v>
      </c>
      <c r="B871" s="1">
        <v>45115</v>
      </c>
      <c r="C871" t="s">
        <v>898</v>
      </c>
      <c r="D871" t="s">
        <v>16</v>
      </c>
      <c r="E871">
        <v>46</v>
      </c>
      <c r="F871" t="s">
        <v>20</v>
      </c>
      <c r="G871">
        <v>4</v>
      </c>
      <c r="H871">
        <v>30</v>
      </c>
      <c r="I871">
        <v>120</v>
      </c>
      <c r="J871" t="str">
        <f t="shared" si="13"/>
        <v>46-60</v>
      </c>
      <c r="M871" s="6" t="s">
        <v>54</v>
      </c>
      <c r="N871">
        <v>50</v>
      </c>
      <c r="V871" s="6">
        <v>854</v>
      </c>
      <c r="W871">
        <v>50</v>
      </c>
      <c r="Y871" s="6">
        <v>869</v>
      </c>
      <c r="Z871">
        <v>1500</v>
      </c>
      <c r="AB871" s="6">
        <v>855</v>
      </c>
      <c r="AC871">
        <v>1</v>
      </c>
    </row>
    <row r="872" spans="1:29" x14ac:dyDescent="0.25">
      <c r="A872">
        <v>871</v>
      </c>
      <c r="B872" s="1">
        <v>45169</v>
      </c>
      <c r="C872" t="s">
        <v>899</v>
      </c>
      <c r="D872" t="s">
        <v>12</v>
      </c>
      <c r="E872">
        <v>62</v>
      </c>
      <c r="F872" t="s">
        <v>13</v>
      </c>
      <c r="G872">
        <v>2</v>
      </c>
      <c r="H872">
        <v>30</v>
      </c>
      <c r="I872">
        <v>60</v>
      </c>
      <c r="J872" t="b">
        <f t="shared" si="13"/>
        <v>0</v>
      </c>
      <c r="M872" s="6" t="s">
        <v>344</v>
      </c>
      <c r="N872">
        <v>50</v>
      </c>
      <c r="V872" s="6">
        <v>855</v>
      </c>
      <c r="W872">
        <v>25</v>
      </c>
      <c r="Y872" s="6">
        <v>870</v>
      </c>
      <c r="Z872">
        <v>120</v>
      </c>
      <c r="AB872" s="6">
        <v>856</v>
      </c>
      <c r="AC872">
        <v>4</v>
      </c>
    </row>
    <row r="873" spans="1:29" x14ac:dyDescent="0.25">
      <c r="A873">
        <v>872</v>
      </c>
      <c r="B873" s="1">
        <v>45210</v>
      </c>
      <c r="C873" t="s">
        <v>900</v>
      </c>
      <c r="D873" t="s">
        <v>16</v>
      </c>
      <c r="E873">
        <v>63</v>
      </c>
      <c r="F873" t="s">
        <v>13</v>
      </c>
      <c r="G873">
        <v>3</v>
      </c>
      <c r="H873">
        <v>25</v>
      </c>
      <c r="I873">
        <v>75</v>
      </c>
      <c r="J873" t="b">
        <f t="shared" si="13"/>
        <v>0</v>
      </c>
      <c r="M873" s="6" t="s">
        <v>91</v>
      </c>
      <c r="N873">
        <v>50</v>
      </c>
      <c r="V873" s="6">
        <v>856</v>
      </c>
      <c r="W873">
        <v>120</v>
      </c>
      <c r="Y873" s="6">
        <v>871</v>
      </c>
      <c r="Z873">
        <v>60</v>
      </c>
      <c r="AB873" s="6">
        <v>857</v>
      </c>
      <c r="AC873">
        <v>2</v>
      </c>
    </row>
    <row r="874" spans="1:29" x14ac:dyDescent="0.25">
      <c r="A874">
        <v>873</v>
      </c>
      <c r="B874" s="1">
        <v>45198</v>
      </c>
      <c r="C874" t="s">
        <v>901</v>
      </c>
      <c r="D874" t="s">
        <v>16</v>
      </c>
      <c r="E874">
        <v>27</v>
      </c>
      <c r="F874" t="s">
        <v>20</v>
      </c>
      <c r="G874">
        <v>4</v>
      </c>
      <c r="H874">
        <v>25</v>
      </c>
      <c r="I874">
        <v>100</v>
      </c>
      <c r="J874" t="str">
        <f t="shared" si="13"/>
        <v>26-35</v>
      </c>
      <c r="M874" s="6" t="s">
        <v>349</v>
      </c>
      <c r="N874">
        <v>50</v>
      </c>
      <c r="V874" s="6">
        <v>857</v>
      </c>
      <c r="W874">
        <v>50</v>
      </c>
      <c r="Y874" s="6">
        <v>872</v>
      </c>
      <c r="Z874">
        <v>75</v>
      </c>
      <c r="AB874" s="6">
        <v>858</v>
      </c>
      <c r="AC874">
        <v>2</v>
      </c>
    </row>
    <row r="875" spans="1:29" x14ac:dyDescent="0.25">
      <c r="A875">
        <v>874</v>
      </c>
      <c r="B875" s="1">
        <v>45103</v>
      </c>
      <c r="C875" t="s">
        <v>902</v>
      </c>
      <c r="D875" t="s">
        <v>12</v>
      </c>
      <c r="E875">
        <v>60</v>
      </c>
      <c r="F875" t="s">
        <v>13</v>
      </c>
      <c r="G875">
        <v>1</v>
      </c>
      <c r="H875">
        <v>30</v>
      </c>
      <c r="I875">
        <v>30</v>
      </c>
      <c r="J875" t="str">
        <f t="shared" si="13"/>
        <v>46-60</v>
      </c>
      <c r="M875" s="6" t="s">
        <v>44</v>
      </c>
      <c r="N875">
        <v>50</v>
      </c>
      <c r="V875" s="6">
        <v>858</v>
      </c>
      <c r="W875">
        <v>100</v>
      </c>
      <c r="Y875" s="6">
        <v>873</v>
      </c>
      <c r="Z875">
        <v>100</v>
      </c>
      <c r="AB875" s="6">
        <v>859</v>
      </c>
      <c r="AC875">
        <v>3</v>
      </c>
    </row>
    <row r="876" spans="1:29" x14ac:dyDescent="0.25">
      <c r="A876">
        <v>875</v>
      </c>
      <c r="B876" s="1">
        <v>45144</v>
      </c>
      <c r="C876" t="s">
        <v>903</v>
      </c>
      <c r="D876" t="s">
        <v>16</v>
      </c>
      <c r="E876">
        <v>51</v>
      </c>
      <c r="F876" t="s">
        <v>20</v>
      </c>
      <c r="G876">
        <v>4</v>
      </c>
      <c r="H876">
        <v>500</v>
      </c>
      <c r="I876">
        <v>2000</v>
      </c>
      <c r="J876" t="str">
        <f t="shared" si="13"/>
        <v>46-60</v>
      </c>
      <c r="M876" s="6" t="s">
        <v>353</v>
      </c>
      <c r="N876">
        <v>50</v>
      </c>
      <c r="V876" s="6">
        <v>859</v>
      </c>
      <c r="W876">
        <v>1500</v>
      </c>
      <c r="Y876" s="6">
        <v>874</v>
      </c>
      <c r="Z876">
        <v>30</v>
      </c>
      <c r="AB876" s="6">
        <v>860</v>
      </c>
      <c r="AC876">
        <v>4</v>
      </c>
    </row>
    <row r="877" spans="1:29" x14ac:dyDescent="0.25">
      <c r="A877">
        <v>876</v>
      </c>
      <c r="B877" s="1">
        <v>45208</v>
      </c>
      <c r="C877" t="s">
        <v>904</v>
      </c>
      <c r="D877" t="s">
        <v>12</v>
      </c>
      <c r="E877">
        <v>43</v>
      </c>
      <c r="F877" t="s">
        <v>17</v>
      </c>
      <c r="G877">
        <v>4</v>
      </c>
      <c r="H877">
        <v>30</v>
      </c>
      <c r="I877">
        <v>120</v>
      </c>
      <c r="J877" t="str">
        <f t="shared" si="13"/>
        <v>36-45</v>
      </c>
      <c r="M877" s="6" t="s">
        <v>217</v>
      </c>
      <c r="N877">
        <v>50</v>
      </c>
      <c r="V877" s="6">
        <v>860</v>
      </c>
      <c r="W877">
        <v>200</v>
      </c>
      <c r="Y877" s="6">
        <v>875</v>
      </c>
      <c r="Z877">
        <v>2000</v>
      </c>
      <c r="AB877" s="6">
        <v>861</v>
      </c>
      <c r="AC877">
        <v>3</v>
      </c>
    </row>
    <row r="878" spans="1:29" x14ac:dyDescent="0.25">
      <c r="A878">
        <v>877</v>
      </c>
      <c r="B878" s="1">
        <v>45096</v>
      </c>
      <c r="C878" t="s">
        <v>905</v>
      </c>
      <c r="D878" t="s">
        <v>16</v>
      </c>
      <c r="E878">
        <v>58</v>
      </c>
      <c r="F878" t="s">
        <v>17</v>
      </c>
      <c r="G878">
        <v>1</v>
      </c>
      <c r="H878">
        <v>25</v>
      </c>
      <c r="I878">
        <v>25</v>
      </c>
      <c r="J878" t="str">
        <f t="shared" si="13"/>
        <v>46-60</v>
      </c>
      <c r="M878" s="6" t="s">
        <v>274</v>
      </c>
      <c r="N878">
        <v>50</v>
      </c>
      <c r="V878" s="6">
        <v>861</v>
      </c>
      <c r="W878">
        <v>90</v>
      </c>
      <c r="Y878" s="6">
        <v>876</v>
      </c>
      <c r="Z878">
        <v>120</v>
      </c>
      <c r="AB878" s="6">
        <v>862</v>
      </c>
      <c r="AC878">
        <v>4</v>
      </c>
    </row>
    <row r="879" spans="1:29" x14ac:dyDescent="0.25">
      <c r="A879">
        <v>878</v>
      </c>
      <c r="B879" s="1">
        <v>45107</v>
      </c>
      <c r="C879" t="s">
        <v>906</v>
      </c>
      <c r="D879" t="s">
        <v>16</v>
      </c>
      <c r="E879">
        <v>20</v>
      </c>
      <c r="F879" t="s">
        <v>17</v>
      </c>
      <c r="G879">
        <v>1</v>
      </c>
      <c r="H879">
        <v>30</v>
      </c>
      <c r="I879">
        <v>30</v>
      </c>
      <c r="J879" t="str">
        <f t="shared" si="13"/>
        <v>18-25</v>
      </c>
      <c r="M879" s="6" t="s">
        <v>43</v>
      </c>
      <c r="N879">
        <v>50</v>
      </c>
      <c r="V879" s="6">
        <v>862</v>
      </c>
      <c r="W879">
        <v>1200</v>
      </c>
      <c r="Y879" s="6">
        <v>877</v>
      </c>
      <c r="Z879">
        <v>25</v>
      </c>
      <c r="AB879" s="6">
        <v>863</v>
      </c>
      <c r="AC879">
        <v>2</v>
      </c>
    </row>
    <row r="880" spans="1:29" x14ac:dyDescent="0.25">
      <c r="A880">
        <v>879</v>
      </c>
      <c r="B880" s="1">
        <v>45286</v>
      </c>
      <c r="C880" t="s">
        <v>907</v>
      </c>
      <c r="D880" t="s">
        <v>12</v>
      </c>
      <c r="E880">
        <v>23</v>
      </c>
      <c r="F880" t="s">
        <v>17</v>
      </c>
      <c r="G880">
        <v>1</v>
      </c>
      <c r="H880">
        <v>30</v>
      </c>
      <c r="I880">
        <v>30</v>
      </c>
      <c r="J880" t="str">
        <f t="shared" si="13"/>
        <v>18-25</v>
      </c>
      <c r="M880" s="6" t="s">
        <v>335</v>
      </c>
      <c r="N880">
        <v>50</v>
      </c>
      <c r="V880" s="6">
        <v>863</v>
      </c>
      <c r="W880">
        <v>50</v>
      </c>
      <c r="Y880" s="6">
        <v>878</v>
      </c>
      <c r="Z880">
        <v>30</v>
      </c>
      <c r="AB880" s="6">
        <v>864</v>
      </c>
      <c r="AC880">
        <v>1</v>
      </c>
    </row>
    <row r="881" spans="1:29" x14ac:dyDescent="0.25">
      <c r="A881">
        <v>880</v>
      </c>
      <c r="B881" s="1">
        <v>45159</v>
      </c>
      <c r="C881" t="s">
        <v>908</v>
      </c>
      <c r="D881" t="s">
        <v>12</v>
      </c>
      <c r="E881">
        <v>22</v>
      </c>
      <c r="F881" t="s">
        <v>13</v>
      </c>
      <c r="G881">
        <v>2</v>
      </c>
      <c r="H881">
        <v>500</v>
      </c>
      <c r="I881">
        <v>1000</v>
      </c>
      <c r="J881" t="str">
        <f t="shared" si="13"/>
        <v>18-25</v>
      </c>
      <c r="M881" s="6" t="s">
        <v>163</v>
      </c>
      <c r="N881">
        <v>50</v>
      </c>
      <c r="V881" s="6">
        <v>864</v>
      </c>
      <c r="W881">
        <v>500</v>
      </c>
      <c r="Y881" s="6">
        <v>879</v>
      </c>
      <c r="Z881">
        <v>30</v>
      </c>
      <c r="AB881" s="6">
        <v>865</v>
      </c>
      <c r="AC881">
        <v>1</v>
      </c>
    </row>
    <row r="882" spans="1:29" x14ac:dyDescent="0.25">
      <c r="A882">
        <v>881</v>
      </c>
      <c r="B882" s="1">
        <v>45065</v>
      </c>
      <c r="C882" t="s">
        <v>909</v>
      </c>
      <c r="D882" t="s">
        <v>12</v>
      </c>
      <c r="E882">
        <v>22</v>
      </c>
      <c r="F882" t="s">
        <v>20</v>
      </c>
      <c r="G882">
        <v>1</v>
      </c>
      <c r="H882">
        <v>300</v>
      </c>
      <c r="I882">
        <v>300</v>
      </c>
      <c r="J882" t="str">
        <f t="shared" si="13"/>
        <v>18-25</v>
      </c>
      <c r="M882" s="6" t="s">
        <v>277</v>
      </c>
      <c r="N882">
        <v>50</v>
      </c>
      <c r="V882" s="6">
        <v>865</v>
      </c>
      <c r="W882">
        <v>300</v>
      </c>
      <c r="Y882" s="6">
        <v>880</v>
      </c>
      <c r="Z882">
        <v>1000</v>
      </c>
      <c r="AB882" s="6">
        <v>866</v>
      </c>
      <c r="AC882">
        <v>1</v>
      </c>
    </row>
    <row r="883" spans="1:29" x14ac:dyDescent="0.25">
      <c r="A883">
        <v>882</v>
      </c>
      <c r="B883" s="1">
        <v>45083</v>
      </c>
      <c r="C883" t="s">
        <v>910</v>
      </c>
      <c r="D883" t="s">
        <v>16</v>
      </c>
      <c r="E883">
        <v>64</v>
      </c>
      <c r="F883" t="s">
        <v>20</v>
      </c>
      <c r="G883">
        <v>2</v>
      </c>
      <c r="H883">
        <v>25</v>
      </c>
      <c r="I883">
        <v>50</v>
      </c>
      <c r="J883" t="b">
        <f t="shared" si="13"/>
        <v>0</v>
      </c>
      <c r="M883" s="6" t="s">
        <v>254</v>
      </c>
      <c r="N883">
        <v>50</v>
      </c>
      <c r="V883" s="6">
        <v>866</v>
      </c>
      <c r="W883">
        <v>50</v>
      </c>
      <c r="Y883" s="6">
        <v>881</v>
      </c>
      <c r="Z883">
        <v>300</v>
      </c>
      <c r="AB883" s="6">
        <v>867</v>
      </c>
      <c r="AC883">
        <v>1</v>
      </c>
    </row>
    <row r="884" spans="1:29" x14ac:dyDescent="0.25">
      <c r="A884">
        <v>883</v>
      </c>
      <c r="B884" s="1">
        <v>45055</v>
      </c>
      <c r="C884" t="s">
        <v>911</v>
      </c>
      <c r="D884" t="s">
        <v>12</v>
      </c>
      <c r="E884">
        <v>40</v>
      </c>
      <c r="F884" t="s">
        <v>20</v>
      </c>
      <c r="G884">
        <v>1</v>
      </c>
      <c r="H884">
        <v>500</v>
      </c>
      <c r="I884">
        <v>500</v>
      </c>
      <c r="J884" t="str">
        <f t="shared" si="13"/>
        <v>36-45</v>
      </c>
      <c r="M884" s="6" t="s">
        <v>278</v>
      </c>
      <c r="N884">
        <v>50</v>
      </c>
      <c r="V884" s="6">
        <v>867</v>
      </c>
      <c r="W884">
        <v>500</v>
      </c>
      <c r="Y884" s="6">
        <v>882</v>
      </c>
      <c r="Z884">
        <v>50</v>
      </c>
      <c r="AB884" s="6">
        <v>868</v>
      </c>
      <c r="AC884">
        <v>1</v>
      </c>
    </row>
    <row r="885" spans="1:29" x14ac:dyDescent="0.25">
      <c r="A885">
        <v>884</v>
      </c>
      <c r="B885" s="1">
        <v>45045</v>
      </c>
      <c r="C885" t="s">
        <v>912</v>
      </c>
      <c r="D885" t="s">
        <v>16</v>
      </c>
      <c r="E885">
        <v>26</v>
      </c>
      <c r="F885" t="s">
        <v>17</v>
      </c>
      <c r="G885">
        <v>2</v>
      </c>
      <c r="H885">
        <v>30</v>
      </c>
      <c r="I885">
        <v>60</v>
      </c>
      <c r="J885" t="str">
        <f t="shared" si="13"/>
        <v>26-35</v>
      </c>
      <c r="M885" s="6" t="s">
        <v>314</v>
      </c>
      <c r="N885">
        <v>50</v>
      </c>
      <c r="V885" s="6">
        <v>868</v>
      </c>
      <c r="W885">
        <v>300</v>
      </c>
      <c r="Y885" s="6">
        <v>883</v>
      </c>
      <c r="Z885">
        <v>500</v>
      </c>
      <c r="AB885" s="6">
        <v>869</v>
      </c>
      <c r="AC885">
        <v>3</v>
      </c>
    </row>
    <row r="886" spans="1:29" x14ac:dyDescent="0.25">
      <c r="A886">
        <v>885</v>
      </c>
      <c r="B886" s="1">
        <v>44988</v>
      </c>
      <c r="C886" t="s">
        <v>913</v>
      </c>
      <c r="D886" t="s">
        <v>16</v>
      </c>
      <c r="E886">
        <v>52</v>
      </c>
      <c r="F886" t="s">
        <v>17</v>
      </c>
      <c r="G886">
        <v>4</v>
      </c>
      <c r="H886">
        <v>30</v>
      </c>
      <c r="I886">
        <v>120</v>
      </c>
      <c r="J886" t="str">
        <f t="shared" si="13"/>
        <v>46-60</v>
      </c>
      <c r="M886" s="6" t="s">
        <v>262</v>
      </c>
      <c r="N886">
        <v>50</v>
      </c>
      <c r="V886" s="6">
        <v>869</v>
      </c>
      <c r="W886">
        <v>1500</v>
      </c>
      <c r="Y886" s="6">
        <v>884</v>
      </c>
      <c r="Z886">
        <v>60</v>
      </c>
      <c r="AB886" s="6">
        <v>870</v>
      </c>
      <c r="AC886">
        <v>4</v>
      </c>
    </row>
    <row r="887" spans="1:29" x14ac:dyDescent="0.25">
      <c r="A887">
        <v>886</v>
      </c>
      <c r="B887" s="1">
        <v>45025</v>
      </c>
      <c r="C887" t="s">
        <v>914</v>
      </c>
      <c r="D887" t="s">
        <v>12</v>
      </c>
      <c r="E887">
        <v>37</v>
      </c>
      <c r="F887" t="s">
        <v>20</v>
      </c>
      <c r="G887">
        <v>3</v>
      </c>
      <c r="H887">
        <v>300</v>
      </c>
      <c r="I887">
        <v>900</v>
      </c>
      <c r="J887" t="str">
        <f t="shared" si="13"/>
        <v>36-45</v>
      </c>
      <c r="M887" s="6" t="s">
        <v>289</v>
      </c>
      <c r="N887">
        <v>50</v>
      </c>
      <c r="V887" s="6">
        <v>870</v>
      </c>
      <c r="W887">
        <v>120</v>
      </c>
      <c r="Y887" s="6">
        <v>885</v>
      </c>
      <c r="Z887">
        <v>120</v>
      </c>
      <c r="AB887" s="6">
        <v>871</v>
      </c>
      <c r="AC887">
        <v>2</v>
      </c>
    </row>
    <row r="888" spans="1:29" x14ac:dyDescent="0.25">
      <c r="A888">
        <v>887</v>
      </c>
      <c r="B888" s="1">
        <v>45088</v>
      </c>
      <c r="C888" t="s">
        <v>915</v>
      </c>
      <c r="D888" t="s">
        <v>12</v>
      </c>
      <c r="E888">
        <v>59</v>
      </c>
      <c r="F888" t="s">
        <v>17</v>
      </c>
      <c r="G888">
        <v>4</v>
      </c>
      <c r="H888">
        <v>25</v>
      </c>
      <c r="I888">
        <v>100</v>
      </c>
      <c r="J888" t="str">
        <f t="shared" si="13"/>
        <v>46-60</v>
      </c>
      <c r="M888" s="6" t="s">
        <v>200</v>
      </c>
      <c r="N888">
        <v>50</v>
      </c>
      <c r="V888" s="6">
        <v>871</v>
      </c>
      <c r="W888">
        <v>60</v>
      </c>
      <c r="Y888" s="6">
        <v>886</v>
      </c>
      <c r="Z888">
        <v>900</v>
      </c>
      <c r="AB888" s="6">
        <v>872</v>
      </c>
      <c r="AC888">
        <v>3</v>
      </c>
    </row>
    <row r="889" spans="1:29" x14ac:dyDescent="0.25">
      <c r="A889">
        <v>888</v>
      </c>
      <c r="B889" s="1">
        <v>44988</v>
      </c>
      <c r="C889" t="s">
        <v>916</v>
      </c>
      <c r="D889" t="s">
        <v>16</v>
      </c>
      <c r="E889">
        <v>52</v>
      </c>
      <c r="F889" t="s">
        <v>20</v>
      </c>
      <c r="G889">
        <v>4</v>
      </c>
      <c r="H889">
        <v>25</v>
      </c>
      <c r="I889">
        <v>100</v>
      </c>
      <c r="J889" t="str">
        <f t="shared" si="13"/>
        <v>46-60</v>
      </c>
      <c r="M889" s="6" t="s">
        <v>68</v>
      </c>
      <c r="N889">
        <v>50</v>
      </c>
      <c r="V889" s="6">
        <v>872</v>
      </c>
      <c r="W889">
        <v>75</v>
      </c>
      <c r="Y889" s="6">
        <v>887</v>
      </c>
      <c r="Z889">
        <v>100</v>
      </c>
      <c r="AB889" s="6">
        <v>873</v>
      </c>
      <c r="AC889">
        <v>4</v>
      </c>
    </row>
    <row r="890" spans="1:29" x14ac:dyDescent="0.25">
      <c r="A890">
        <v>889</v>
      </c>
      <c r="B890" s="1">
        <v>45201</v>
      </c>
      <c r="C890" t="s">
        <v>917</v>
      </c>
      <c r="D890" t="s">
        <v>16</v>
      </c>
      <c r="E890">
        <v>35</v>
      </c>
      <c r="F890" t="s">
        <v>20</v>
      </c>
      <c r="G890">
        <v>1</v>
      </c>
      <c r="H890">
        <v>50</v>
      </c>
      <c r="I890">
        <v>50</v>
      </c>
      <c r="J890" t="str">
        <f t="shared" si="13"/>
        <v>26-35</v>
      </c>
      <c r="M890" s="6" t="s">
        <v>87</v>
      </c>
      <c r="N890">
        <v>50</v>
      </c>
      <c r="V890" s="6">
        <v>873</v>
      </c>
      <c r="W890">
        <v>100</v>
      </c>
      <c r="Y890" s="6">
        <v>888</v>
      </c>
      <c r="Z890">
        <v>100</v>
      </c>
      <c r="AB890" s="6">
        <v>874</v>
      </c>
      <c r="AC890">
        <v>1</v>
      </c>
    </row>
    <row r="891" spans="1:29" x14ac:dyDescent="0.25">
      <c r="A891">
        <v>890</v>
      </c>
      <c r="B891" s="1">
        <v>45280</v>
      </c>
      <c r="C891" t="s">
        <v>918</v>
      </c>
      <c r="D891" t="s">
        <v>12</v>
      </c>
      <c r="E891">
        <v>34</v>
      </c>
      <c r="F891" t="s">
        <v>20</v>
      </c>
      <c r="G891">
        <v>2</v>
      </c>
      <c r="H891">
        <v>25</v>
      </c>
      <c r="I891">
        <v>50</v>
      </c>
      <c r="J891" t="str">
        <f t="shared" si="13"/>
        <v>26-35</v>
      </c>
      <c r="M891" s="6" t="s">
        <v>169</v>
      </c>
      <c r="N891">
        <v>50</v>
      </c>
      <c r="V891" s="6">
        <v>874</v>
      </c>
      <c r="W891">
        <v>30</v>
      </c>
      <c r="Y891" s="6">
        <v>889</v>
      </c>
      <c r="Z891">
        <v>50</v>
      </c>
      <c r="AB891" s="6">
        <v>875</v>
      </c>
      <c r="AC891">
        <v>4</v>
      </c>
    </row>
    <row r="892" spans="1:29" x14ac:dyDescent="0.25">
      <c r="A892">
        <v>891</v>
      </c>
      <c r="B892" s="1">
        <v>45021</v>
      </c>
      <c r="C892" t="s">
        <v>919</v>
      </c>
      <c r="D892" t="s">
        <v>12</v>
      </c>
      <c r="E892">
        <v>41</v>
      </c>
      <c r="F892" t="s">
        <v>20</v>
      </c>
      <c r="G892">
        <v>3</v>
      </c>
      <c r="H892">
        <v>300</v>
      </c>
      <c r="I892">
        <v>900</v>
      </c>
      <c r="J892" t="str">
        <f t="shared" si="13"/>
        <v>36-45</v>
      </c>
      <c r="M892" s="6" t="s">
        <v>179</v>
      </c>
      <c r="N892">
        <v>50</v>
      </c>
      <c r="V892" s="6">
        <v>875</v>
      </c>
      <c r="W892">
        <v>2000</v>
      </c>
      <c r="Y892" s="6">
        <v>890</v>
      </c>
      <c r="Z892">
        <v>50</v>
      </c>
      <c r="AB892" s="6">
        <v>876</v>
      </c>
      <c r="AC892">
        <v>4</v>
      </c>
    </row>
    <row r="893" spans="1:29" x14ac:dyDescent="0.25">
      <c r="A893">
        <v>892</v>
      </c>
      <c r="B893" s="1">
        <v>45025</v>
      </c>
      <c r="C893" t="s">
        <v>920</v>
      </c>
      <c r="D893" t="s">
        <v>12</v>
      </c>
      <c r="E893">
        <v>20</v>
      </c>
      <c r="F893" t="s">
        <v>20</v>
      </c>
      <c r="G893">
        <v>1</v>
      </c>
      <c r="H893">
        <v>50</v>
      </c>
      <c r="I893">
        <v>50</v>
      </c>
      <c r="J893" t="str">
        <f t="shared" si="13"/>
        <v>18-25</v>
      </c>
      <c r="M893" s="6" t="s">
        <v>171</v>
      </c>
      <c r="N893">
        <v>50</v>
      </c>
      <c r="V893" s="6">
        <v>876</v>
      </c>
      <c r="W893">
        <v>120</v>
      </c>
      <c r="Y893" s="6">
        <v>891</v>
      </c>
      <c r="Z893">
        <v>900</v>
      </c>
      <c r="AB893" s="6">
        <v>877</v>
      </c>
      <c r="AC893">
        <v>1</v>
      </c>
    </row>
    <row r="894" spans="1:29" x14ac:dyDescent="0.25">
      <c r="A894">
        <v>893</v>
      </c>
      <c r="B894" s="1">
        <v>45037</v>
      </c>
      <c r="C894" t="s">
        <v>921</v>
      </c>
      <c r="D894" t="s">
        <v>12</v>
      </c>
      <c r="E894">
        <v>49</v>
      </c>
      <c r="F894" t="s">
        <v>20</v>
      </c>
      <c r="G894">
        <v>1</v>
      </c>
      <c r="H894">
        <v>50</v>
      </c>
      <c r="I894">
        <v>50</v>
      </c>
      <c r="J894" t="str">
        <f t="shared" si="13"/>
        <v>46-60</v>
      </c>
      <c r="M894" s="6" t="s">
        <v>69</v>
      </c>
      <c r="N894">
        <v>50</v>
      </c>
      <c r="V894" s="6">
        <v>877</v>
      </c>
      <c r="W894">
        <v>25</v>
      </c>
      <c r="Y894" s="6">
        <v>892</v>
      </c>
      <c r="Z894">
        <v>50</v>
      </c>
      <c r="AB894" s="6">
        <v>878</v>
      </c>
      <c r="AC894">
        <v>1</v>
      </c>
    </row>
    <row r="895" spans="1:29" x14ac:dyDescent="0.25">
      <c r="A895">
        <v>894</v>
      </c>
      <c r="B895" s="1">
        <v>45174</v>
      </c>
      <c r="C895" t="s">
        <v>922</v>
      </c>
      <c r="D895" t="s">
        <v>12</v>
      </c>
      <c r="E895">
        <v>52</v>
      </c>
      <c r="F895" t="s">
        <v>20</v>
      </c>
      <c r="G895">
        <v>1</v>
      </c>
      <c r="H895">
        <v>30</v>
      </c>
      <c r="I895">
        <v>30</v>
      </c>
      <c r="J895" t="str">
        <f t="shared" si="13"/>
        <v>46-60</v>
      </c>
      <c r="M895" s="6" t="s">
        <v>130</v>
      </c>
      <c r="N895">
        <v>50</v>
      </c>
      <c r="V895" s="6">
        <v>878</v>
      </c>
      <c r="W895">
        <v>30</v>
      </c>
      <c r="Y895" s="6">
        <v>893</v>
      </c>
      <c r="Z895">
        <v>50</v>
      </c>
      <c r="AB895" s="6">
        <v>879</v>
      </c>
      <c r="AC895">
        <v>1</v>
      </c>
    </row>
    <row r="896" spans="1:29" x14ac:dyDescent="0.25">
      <c r="A896">
        <v>895</v>
      </c>
      <c r="B896" s="1">
        <v>45068</v>
      </c>
      <c r="C896" t="s">
        <v>923</v>
      </c>
      <c r="D896" t="s">
        <v>16</v>
      </c>
      <c r="E896">
        <v>55</v>
      </c>
      <c r="F896" t="s">
        <v>17</v>
      </c>
      <c r="G896">
        <v>4</v>
      </c>
      <c r="H896">
        <v>30</v>
      </c>
      <c r="I896">
        <v>120</v>
      </c>
      <c r="J896" t="str">
        <f t="shared" si="13"/>
        <v>46-60</v>
      </c>
      <c r="M896" s="6" t="s">
        <v>134</v>
      </c>
      <c r="N896">
        <v>50</v>
      </c>
      <c r="V896" s="6">
        <v>879</v>
      </c>
      <c r="W896">
        <v>30</v>
      </c>
      <c r="Y896" s="6">
        <v>894</v>
      </c>
      <c r="Z896">
        <v>30</v>
      </c>
      <c r="AB896" s="6">
        <v>880</v>
      </c>
      <c r="AC896">
        <v>2</v>
      </c>
    </row>
    <row r="897" spans="1:29" x14ac:dyDescent="0.25">
      <c r="A897">
        <v>896</v>
      </c>
      <c r="B897" s="1">
        <v>45228</v>
      </c>
      <c r="C897" t="s">
        <v>924</v>
      </c>
      <c r="D897" t="s">
        <v>16</v>
      </c>
      <c r="E897">
        <v>30</v>
      </c>
      <c r="F897" t="s">
        <v>20</v>
      </c>
      <c r="G897">
        <v>2</v>
      </c>
      <c r="H897">
        <v>25</v>
      </c>
      <c r="I897">
        <v>50</v>
      </c>
      <c r="J897" t="str">
        <f t="shared" si="13"/>
        <v>26-35</v>
      </c>
      <c r="M897" s="6" t="s">
        <v>141</v>
      </c>
      <c r="N897">
        <v>50</v>
      </c>
      <c r="V897" s="6">
        <v>880</v>
      </c>
      <c r="W897">
        <v>1000</v>
      </c>
      <c r="Y897" s="6">
        <v>895</v>
      </c>
      <c r="Z897">
        <v>120</v>
      </c>
      <c r="AB897" s="6">
        <v>881</v>
      </c>
      <c r="AC897">
        <v>1</v>
      </c>
    </row>
    <row r="898" spans="1:29" x14ac:dyDescent="0.25">
      <c r="A898">
        <v>897</v>
      </c>
      <c r="B898" s="1">
        <v>45195</v>
      </c>
      <c r="C898" t="s">
        <v>925</v>
      </c>
      <c r="D898" t="s">
        <v>16</v>
      </c>
      <c r="E898">
        <v>64</v>
      </c>
      <c r="F898" t="s">
        <v>20</v>
      </c>
      <c r="G898">
        <v>2</v>
      </c>
      <c r="H898">
        <v>50</v>
      </c>
      <c r="I898">
        <v>100</v>
      </c>
      <c r="J898" t="b">
        <f t="shared" si="13"/>
        <v>0</v>
      </c>
      <c r="M898" s="6" t="s">
        <v>148</v>
      </c>
      <c r="N898">
        <v>50</v>
      </c>
      <c r="V898" s="6">
        <v>881</v>
      </c>
      <c r="W898">
        <v>300</v>
      </c>
      <c r="Y898" s="6">
        <v>896</v>
      </c>
      <c r="Z898">
        <v>50</v>
      </c>
      <c r="AB898" s="6">
        <v>882</v>
      </c>
      <c r="AC898">
        <v>2</v>
      </c>
    </row>
    <row r="899" spans="1:29" x14ac:dyDescent="0.25">
      <c r="A899">
        <v>898</v>
      </c>
      <c r="B899" s="1">
        <v>45232</v>
      </c>
      <c r="C899" t="s">
        <v>926</v>
      </c>
      <c r="D899" t="s">
        <v>16</v>
      </c>
      <c r="E899">
        <v>42</v>
      </c>
      <c r="F899" t="s">
        <v>17</v>
      </c>
      <c r="G899">
        <v>3</v>
      </c>
      <c r="H899">
        <v>30</v>
      </c>
      <c r="I899">
        <v>90</v>
      </c>
      <c r="J899" t="str">
        <f t="shared" ref="J899:J962" si="14">IF(AND(E899&gt;=18,E899&lt;=25),"18-25",IF(AND(E899&gt;=26,E899&lt;=35),"26-35",IF(AND(E899&gt;=36,E899&lt;=45),"36-45",IF(AND(E899&gt;=46,E899&lt;=60),"46-60"))))</f>
        <v>36-45</v>
      </c>
      <c r="M899" s="6" t="s">
        <v>162</v>
      </c>
      <c r="N899">
        <v>50</v>
      </c>
      <c r="V899" s="6">
        <v>882</v>
      </c>
      <c r="W899">
        <v>50</v>
      </c>
      <c r="Y899" s="6">
        <v>897</v>
      </c>
      <c r="Z899">
        <v>100</v>
      </c>
      <c r="AB899" s="6">
        <v>883</v>
      </c>
      <c r="AC899">
        <v>1</v>
      </c>
    </row>
    <row r="900" spans="1:29" x14ac:dyDescent="0.25">
      <c r="A900">
        <v>899</v>
      </c>
      <c r="B900" s="1">
        <v>45071</v>
      </c>
      <c r="C900" t="s">
        <v>927</v>
      </c>
      <c r="D900" t="s">
        <v>12</v>
      </c>
      <c r="E900">
        <v>26</v>
      </c>
      <c r="F900" t="s">
        <v>17</v>
      </c>
      <c r="G900">
        <v>2</v>
      </c>
      <c r="H900">
        <v>300</v>
      </c>
      <c r="I900">
        <v>600</v>
      </c>
      <c r="J900" t="str">
        <f t="shared" si="14"/>
        <v>26-35</v>
      </c>
      <c r="M900" s="6" t="s">
        <v>252</v>
      </c>
      <c r="N900">
        <v>50</v>
      </c>
      <c r="V900" s="6">
        <v>883</v>
      </c>
      <c r="W900">
        <v>500</v>
      </c>
      <c r="Y900" s="6">
        <v>898</v>
      </c>
      <c r="Z900">
        <v>90</v>
      </c>
      <c r="AB900" s="6">
        <v>884</v>
      </c>
      <c r="AC900">
        <v>2</v>
      </c>
    </row>
    <row r="901" spans="1:29" x14ac:dyDescent="0.25">
      <c r="A901">
        <v>900</v>
      </c>
      <c r="B901" s="1">
        <v>44978</v>
      </c>
      <c r="C901" t="s">
        <v>928</v>
      </c>
      <c r="D901" t="s">
        <v>12</v>
      </c>
      <c r="E901">
        <v>21</v>
      </c>
      <c r="F901" t="s">
        <v>17</v>
      </c>
      <c r="G901">
        <v>2</v>
      </c>
      <c r="H901">
        <v>30</v>
      </c>
      <c r="I901">
        <v>60</v>
      </c>
      <c r="J901" t="str">
        <f t="shared" si="14"/>
        <v>18-25</v>
      </c>
      <c r="M901" s="6" t="s">
        <v>781</v>
      </c>
      <c r="N901">
        <v>30</v>
      </c>
      <c r="V901" s="6">
        <v>884</v>
      </c>
      <c r="W901">
        <v>60</v>
      </c>
      <c r="Y901" s="6">
        <v>899</v>
      </c>
      <c r="Z901">
        <v>600</v>
      </c>
      <c r="AB901" s="6">
        <v>885</v>
      </c>
      <c r="AC901">
        <v>4</v>
      </c>
    </row>
    <row r="902" spans="1:29" x14ac:dyDescent="0.25">
      <c r="A902">
        <v>901</v>
      </c>
      <c r="B902" s="1">
        <v>45026</v>
      </c>
      <c r="C902" t="s">
        <v>929</v>
      </c>
      <c r="D902" t="s">
        <v>12</v>
      </c>
      <c r="E902">
        <v>31</v>
      </c>
      <c r="F902" t="s">
        <v>20</v>
      </c>
      <c r="G902">
        <v>1</v>
      </c>
      <c r="H902">
        <v>30</v>
      </c>
      <c r="I902">
        <v>30</v>
      </c>
      <c r="J902" t="str">
        <f t="shared" si="14"/>
        <v>26-35</v>
      </c>
      <c r="M902" s="6" t="s">
        <v>907</v>
      </c>
      <c r="N902">
        <v>30</v>
      </c>
      <c r="V902" s="6">
        <v>885</v>
      </c>
      <c r="W902">
        <v>120</v>
      </c>
      <c r="Y902" s="6">
        <v>900</v>
      </c>
      <c r="Z902">
        <v>60</v>
      </c>
      <c r="AB902" s="6">
        <v>886</v>
      </c>
      <c r="AC902">
        <v>3</v>
      </c>
    </row>
    <row r="903" spans="1:29" x14ac:dyDescent="0.25">
      <c r="A903">
        <v>902</v>
      </c>
      <c r="B903" s="1">
        <v>45078</v>
      </c>
      <c r="C903" t="s">
        <v>930</v>
      </c>
      <c r="D903" t="s">
        <v>16</v>
      </c>
      <c r="E903">
        <v>54</v>
      </c>
      <c r="F903" t="s">
        <v>13</v>
      </c>
      <c r="G903">
        <v>1</v>
      </c>
      <c r="H903">
        <v>50</v>
      </c>
      <c r="I903">
        <v>50</v>
      </c>
      <c r="J903" t="str">
        <f t="shared" si="14"/>
        <v>46-60</v>
      </c>
      <c r="M903" s="6" t="s">
        <v>698</v>
      </c>
      <c r="N903">
        <v>30</v>
      </c>
      <c r="V903" s="6">
        <v>886</v>
      </c>
      <c r="W903">
        <v>900</v>
      </c>
      <c r="Y903" s="6">
        <v>901</v>
      </c>
      <c r="Z903">
        <v>30</v>
      </c>
      <c r="AB903" s="6">
        <v>887</v>
      </c>
      <c r="AC903">
        <v>4</v>
      </c>
    </row>
    <row r="904" spans="1:29" x14ac:dyDescent="0.25">
      <c r="A904">
        <v>903</v>
      </c>
      <c r="B904" s="1">
        <v>45043</v>
      </c>
      <c r="C904" t="s">
        <v>931</v>
      </c>
      <c r="D904" t="s">
        <v>16</v>
      </c>
      <c r="E904">
        <v>51</v>
      </c>
      <c r="F904" t="s">
        <v>13</v>
      </c>
      <c r="G904">
        <v>4</v>
      </c>
      <c r="H904">
        <v>50</v>
      </c>
      <c r="I904">
        <v>200</v>
      </c>
      <c r="J904" t="str">
        <f t="shared" si="14"/>
        <v>46-60</v>
      </c>
      <c r="M904" s="6" t="s">
        <v>929</v>
      </c>
      <c r="N904">
        <v>30</v>
      </c>
      <c r="V904" s="6">
        <v>887</v>
      </c>
      <c r="W904">
        <v>100</v>
      </c>
      <c r="Y904" s="6">
        <v>902</v>
      </c>
      <c r="Z904">
        <v>50</v>
      </c>
      <c r="AB904" s="6">
        <v>888</v>
      </c>
      <c r="AC904">
        <v>4</v>
      </c>
    </row>
    <row r="905" spans="1:29" x14ac:dyDescent="0.25">
      <c r="A905">
        <v>904</v>
      </c>
      <c r="B905" s="1">
        <v>45111</v>
      </c>
      <c r="C905" t="s">
        <v>932</v>
      </c>
      <c r="D905" t="s">
        <v>12</v>
      </c>
      <c r="E905">
        <v>28</v>
      </c>
      <c r="F905" t="s">
        <v>17</v>
      </c>
      <c r="G905">
        <v>1</v>
      </c>
      <c r="H905">
        <v>500</v>
      </c>
      <c r="I905">
        <v>500</v>
      </c>
      <c r="J905" t="str">
        <f t="shared" si="14"/>
        <v>26-35</v>
      </c>
      <c r="M905" s="6" t="s">
        <v>821</v>
      </c>
      <c r="N905">
        <v>30</v>
      </c>
      <c r="V905" s="6">
        <v>888</v>
      </c>
      <c r="W905">
        <v>100</v>
      </c>
      <c r="Y905" s="6">
        <v>903</v>
      </c>
      <c r="Z905">
        <v>200</v>
      </c>
      <c r="AB905" s="6">
        <v>889</v>
      </c>
      <c r="AC905">
        <v>1</v>
      </c>
    </row>
    <row r="906" spans="1:29" x14ac:dyDescent="0.25">
      <c r="A906">
        <v>905</v>
      </c>
      <c r="B906" s="1">
        <v>45018</v>
      </c>
      <c r="C906" t="s">
        <v>933</v>
      </c>
      <c r="D906" t="s">
        <v>12</v>
      </c>
      <c r="E906">
        <v>58</v>
      </c>
      <c r="F906" t="s">
        <v>13</v>
      </c>
      <c r="G906">
        <v>1</v>
      </c>
      <c r="H906">
        <v>300</v>
      </c>
      <c r="I906">
        <v>300</v>
      </c>
      <c r="J906" t="str">
        <f t="shared" si="14"/>
        <v>46-60</v>
      </c>
      <c r="M906" s="6" t="s">
        <v>902</v>
      </c>
      <c r="N906">
        <v>30</v>
      </c>
      <c r="V906" s="6">
        <v>889</v>
      </c>
      <c r="W906">
        <v>50</v>
      </c>
      <c r="Y906" s="6">
        <v>904</v>
      </c>
      <c r="Z906">
        <v>500</v>
      </c>
      <c r="AB906" s="6">
        <v>890</v>
      </c>
      <c r="AC906">
        <v>2</v>
      </c>
    </row>
    <row r="907" spans="1:29" x14ac:dyDescent="0.25">
      <c r="A907">
        <v>906</v>
      </c>
      <c r="B907" s="1">
        <v>45081</v>
      </c>
      <c r="C907" t="s">
        <v>934</v>
      </c>
      <c r="D907" t="s">
        <v>16</v>
      </c>
      <c r="E907">
        <v>20</v>
      </c>
      <c r="F907" t="s">
        <v>17</v>
      </c>
      <c r="G907">
        <v>1</v>
      </c>
      <c r="H907">
        <v>50</v>
      </c>
      <c r="I907">
        <v>50</v>
      </c>
      <c r="J907" t="str">
        <f t="shared" si="14"/>
        <v>18-25</v>
      </c>
      <c r="M907" s="6" t="s">
        <v>762</v>
      </c>
      <c r="N907">
        <v>30</v>
      </c>
      <c r="V907" s="6">
        <v>890</v>
      </c>
      <c r="W907">
        <v>50</v>
      </c>
      <c r="Y907" s="6">
        <v>905</v>
      </c>
      <c r="Z907">
        <v>300</v>
      </c>
      <c r="AB907" s="6">
        <v>891</v>
      </c>
      <c r="AC907">
        <v>3</v>
      </c>
    </row>
    <row r="908" spans="1:29" x14ac:dyDescent="0.25">
      <c r="A908">
        <v>907</v>
      </c>
      <c r="B908" s="1">
        <v>44934</v>
      </c>
      <c r="C908" t="s">
        <v>935</v>
      </c>
      <c r="D908" t="s">
        <v>16</v>
      </c>
      <c r="E908">
        <v>45</v>
      </c>
      <c r="F908" t="s">
        <v>20</v>
      </c>
      <c r="G908">
        <v>1</v>
      </c>
      <c r="H908">
        <v>25</v>
      </c>
      <c r="I908">
        <v>25</v>
      </c>
      <c r="J908" t="str">
        <f t="shared" si="14"/>
        <v>36-45</v>
      </c>
      <c r="M908" s="6" t="s">
        <v>968</v>
      </c>
      <c r="N908">
        <v>30</v>
      </c>
      <c r="V908" s="6">
        <v>891</v>
      </c>
      <c r="W908">
        <v>900</v>
      </c>
      <c r="Y908" s="6">
        <v>906</v>
      </c>
      <c r="Z908">
        <v>50</v>
      </c>
      <c r="AB908" s="6">
        <v>892</v>
      </c>
      <c r="AC908">
        <v>1</v>
      </c>
    </row>
    <row r="909" spans="1:29" x14ac:dyDescent="0.25">
      <c r="A909">
        <v>908</v>
      </c>
      <c r="B909" s="1">
        <v>45289</v>
      </c>
      <c r="C909" t="s">
        <v>936</v>
      </c>
      <c r="D909" t="s">
        <v>12</v>
      </c>
      <c r="E909">
        <v>46</v>
      </c>
      <c r="F909" t="s">
        <v>13</v>
      </c>
      <c r="G909">
        <v>4</v>
      </c>
      <c r="H909">
        <v>300</v>
      </c>
      <c r="I909">
        <v>1200</v>
      </c>
      <c r="J909" t="str">
        <f t="shared" si="14"/>
        <v>46-60</v>
      </c>
      <c r="M909" s="6" t="s">
        <v>954</v>
      </c>
      <c r="N909">
        <v>30</v>
      </c>
      <c r="V909" s="6">
        <v>892</v>
      </c>
      <c r="W909">
        <v>50</v>
      </c>
      <c r="Y909" s="6">
        <v>907</v>
      </c>
      <c r="Z909">
        <v>25</v>
      </c>
      <c r="AB909" s="6">
        <v>893</v>
      </c>
      <c r="AC909">
        <v>1</v>
      </c>
    </row>
    <row r="910" spans="1:29" x14ac:dyDescent="0.25">
      <c r="A910">
        <v>909</v>
      </c>
      <c r="B910" s="1">
        <v>45200</v>
      </c>
      <c r="C910" t="s">
        <v>937</v>
      </c>
      <c r="D910" t="s">
        <v>12</v>
      </c>
      <c r="E910">
        <v>26</v>
      </c>
      <c r="F910" t="s">
        <v>20</v>
      </c>
      <c r="G910">
        <v>1</v>
      </c>
      <c r="H910">
        <v>300</v>
      </c>
      <c r="I910">
        <v>300</v>
      </c>
      <c r="J910" t="str">
        <f t="shared" si="14"/>
        <v>26-35</v>
      </c>
      <c r="M910" s="6" t="s">
        <v>777</v>
      </c>
      <c r="N910">
        <v>30</v>
      </c>
      <c r="V910" s="6">
        <v>893</v>
      </c>
      <c r="W910">
        <v>50</v>
      </c>
      <c r="Y910" s="6">
        <v>908</v>
      </c>
      <c r="Z910">
        <v>1200</v>
      </c>
      <c r="AB910" s="6">
        <v>894</v>
      </c>
      <c r="AC910">
        <v>1</v>
      </c>
    </row>
    <row r="911" spans="1:29" x14ac:dyDescent="0.25">
      <c r="A911">
        <v>910</v>
      </c>
      <c r="B911" s="1">
        <v>44991</v>
      </c>
      <c r="C911" t="s">
        <v>938</v>
      </c>
      <c r="D911" t="s">
        <v>16</v>
      </c>
      <c r="E911">
        <v>20</v>
      </c>
      <c r="F911" t="s">
        <v>13</v>
      </c>
      <c r="G911">
        <v>3</v>
      </c>
      <c r="H911">
        <v>50</v>
      </c>
      <c r="I911">
        <v>150</v>
      </c>
      <c r="J911" t="str">
        <f t="shared" si="14"/>
        <v>18-25</v>
      </c>
      <c r="M911" s="6" t="s">
        <v>761</v>
      </c>
      <c r="N911">
        <v>30</v>
      </c>
      <c r="V911" s="6">
        <v>894</v>
      </c>
      <c r="W911">
        <v>30</v>
      </c>
      <c r="Y911" s="6">
        <v>909</v>
      </c>
      <c r="Z911">
        <v>300</v>
      </c>
      <c r="AB911" s="6">
        <v>895</v>
      </c>
      <c r="AC911">
        <v>4</v>
      </c>
    </row>
    <row r="912" spans="1:29" x14ac:dyDescent="0.25">
      <c r="A912">
        <v>911</v>
      </c>
      <c r="B912" s="1">
        <v>45067</v>
      </c>
      <c r="C912" t="s">
        <v>939</v>
      </c>
      <c r="D912" t="s">
        <v>12</v>
      </c>
      <c r="E912">
        <v>42</v>
      </c>
      <c r="F912" t="s">
        <v>20</v>
      </c>
      <c r="G912">
        <v>3</v>
      </c>
      <c r="H912">
        <v>300</v>
      </c>
      <c r="I912">
        <v>900</v>
      </c>
      <c r="J912" t="str">
        <f t="shared" si="14"/>
        <v>36-45</v>
      </c>
      <c r="M912" s="6" t="s">
        <v>1002</v>
      </c>
      <c r="N912">
        <v>30</v>
      </c>
      <c r="V912" s="6">
        <v>895</v>
      </c>
      <c r="W912">
        <v>120</v>
      </c>
      <c r="Y912" s="6">
        <v>910</v>
      </c>
      <c r="Z912">
        <v>150</v>
      </c>
      <c r="AB912" s="6">
        <v>896</v>
      </c>
      <c r="AC912">
        <v>2</v>
      </c>
    </row>
    <row r="913" spans="1:29" x14ac:dyDescent="0.25">
      <c r="A913">
        <v>912</v>
      </c>
      <c r="B913" s="1">
        <v>44950</v>
      </c>
      <c r="C913" t="s">
        <v>940</v>
      </c>
      <c r="D913" t="s">
        <v>12</v>
      </c>
      <c r="E913">
        <v>51</v>
      </c>
      <c r="F913" t="s">
        <v>13</v>
      </c>
      <c r="G913">
        <v>3</v>
      </c>
      <c r="H913">
        <v>50</v>
      </c>
      <c r="I913">
        <v>150</v>
      </c>
      <c r="J913" t="str">
        <f t="shared" si="14"/>
        <v>46-60</v>
      </c>
      <c r="M913" s="6" t="s">
        <v>922</v>
      </c>
      <c r="N913">
        <v>30</v>
      </c>
      <c r="V913" s="6">
        <v>896</v>
      </c>
      <c r="W913">
        <v>50</v>
      </c>
      <c r="Y913" s="6">
        <v>911</v>
      </c>
      <c r="Z913">
        <v>900</v>
      </c>
      <c r="AB913" s="6">
        <v>897</v>
      </c>
      <c r="AC913">
        <v>2</v>
      </c>
    </row>
    <row r="914" spans="1:29" x14ac:dyDescent="0.25">
      <c r="A914">
        <v>913</v>
      </c>
      <c r="B914" s="1">
        <v>44954</v>
      </c>
      <c r="C914" t="s">
        <v>941</v>
      </c>
      <c r="D914" t="s">
        <v>12</v>
      </c>
      <c r="E914">
        <v>29</v>
      </c>
      <c r="F914" t="s">
        <v>20</v>
      </c>
      <c r="G914">
        <v>3</v>
      </c>
      <c r="H914">
        <v>30</v>
      </c>
      <c r="I914">
        <v>90</v>
      </c>
      <c r="J914" t="str">
        <f t="shared" si="14"/>
        <v>26-35</v>
      </c>
      <c r="M914" s="6" t="s">
        <v>830</v>
      </c>
      <c r="N914">
        <v>30</v>
      </c>
      <c r="V914" s="6">
        <v>897</v>
      </c>
      <c r="W914">
        <v>100</v>
      </c>
      <c r="Y914" s="6">
        <v>912</v>
      </c>
      <c r="Z914">
        <v>150</v>
      </c>
      <c r="AB914" s="6">
        <v>898</v>
      </c>
      <c r="AC914">
        <v>3</v>
      </c>
    </row>
    <row r="915" spans="1:29" x14ac:dyDescent="0.25">
      <c r="A915">
        <v>914</v>
      </c>
      <c r="B915" s="1">
        <v>45210</v>
      </c>
      <c r="C915" t="s">
        <v>942</v>
      </c>
      <c r="D915" t="s">
        <v>16</v>
      </c>
      <c r="E915">
        <v>59</v>
      </c>
      <c r="F915" t="s">
        <v>20</v>
      </c>
      <c r="G915">
        <v>1</v>
      </c>
      <c r="H915">
        <v>500</v>
      </c>
      <c r="I915">
        <v>500</v>
      </c>
      <c r="J915" t="str">
        <f t="shared" si="14"/>
        <v>46-60</v>
      </c>
      <c r="M915" s="6" t="s">
        <v>1023</v>
      </c>
      <c r="N915">
        <v>30</v>
      </c>
      <c r="V915" s="6">
        <v>898</v>
      </c>
      <c r="W915">
        <v>90</v>
      </c>
      <c r="Y915" s="6">
        <v>913</v>
      </c>
      <c r="Z915">
        <v>90</v>
      </c>
      <c r="AB915" s="6">
        <v>899</v>
      </c>
      <c r="AC915">
        <v>2</v>
      </c>
    </row>
    <row r="916" spans="1:29" x14ac:dyDescent="0.25">
      <c r="A916">
        <v>915</v>
      </c>
      <c r="B916" s="1">
        <v>45076</v>
      </c>
      <c r="C916" t="s">
        <v>943</v>
      </c>
      <c r="D916" t="s">
        <v>16</v>
      </c>
      <c r="E916">
        <v>26</v>
      </c>
      <c r="F916" t="s">
        <v>13</v>
      </c>
      <c r="G916">
        <v>3</v>
      </c>
      <c r="H916">
        <v>30</v>
      </c>
      <c r="I916">
        <v>90</v>
      </c>
      <c r="J916" t="str">
        <f t="shared" si="14"/>
        <v>26-35</v>
      </c>
      <c r="M916" s="6" t="s">
        <v>906</v>
      </c>
      <c r="N916">
        <v>30</v>
      </c>
      <c r="V916" s="6">
        <v>899</v>
      </c>
      <c r="W916">
        <v>600</v>
      </c>
      <c r="Y916" s="6">
        <v>914</v>
      </c>
      <c r="Z916">
        <v>500</v>
      </c>
      <c r="AB916" s="6">
        <v>900</v>
      </c>
      <c r="AC916">
        <v>2</v>
      </c>
    </row>
    <row r="917" spans="1:29" x14ac:dyDescent="0.25">
      <c r="A917">
        <v>916</v>
      </c>
      <c r="B917" s="1">
        <v>45284</v>
      </c>
      <c r="C917" t="s">
        <v>944</v>
      </c>
      <c r="D917" t="s">
        <v>16</v>
      </c>
      <c r="E917">
        <v>32</v>
      </c>
      <c r="F917" t="s">
        <v>20</v>
      </c>
      <c r="G917">
        <v>1</v>
      </c>
      <c r="H917">
        <v>50</v>
      </c>
      <c r="I917">
        <v>50</v>
      </c>
      <c r="J917" t="str">
        <f t="shared" si="14"/>
        <v>26-35</v>
      </c>
      <c r="M917" s="6" t="s">
        <v>961</v>
      </c>
      <c r="N917">
        <v>30</v>
      </c>
      <c r="V917" s="6">
        <v>900</v>
      </c>
      <c r="W917">
        <v>60</v>
      </c>
      <c r="Y917" s="6">
        <v>915</v>
      </c>
      <c r="Z917">
        <v>90</v>
      </c>
      <c r="AB917" s="6">
        <v>901</v>
      </c>
      <c r="AC917">
        <v>1</v>
      </c>
    </row>
    <row r="918" spans="1:29" x14ac:dyDescent="0.25">
      <c r="A918">
        <v>917</v>
      </c>
      <c r="B918" s="1">
        <v>44991</v>
      </c>
      <c r="C918" t="s">
        <v>945</v>
      </c>
      <c r="D918" t="s">
        <v>16</v>
      </c>
      <c r="E918">
        <v>57</v>
      </c>
      <c r="F918" t="s">
        <v>20</v>
      </c>
      <c r="G918">
        <v>4</v>
      </c>
      <c r="H918">
        <v>50</v>
      </c>
      <c r="I918">
        <v>200</v>
      </c>
      <c r="J918" t="str">
        <f t="shared" si="14"/>
        <v>46-60</v>
      </c>
      <c r="M918" s="6" t="s">
        <v>775</v>
      </c>
      <c r="N918">
        <v>30</v>
      </c>
      <c r="V918" s="6">
        <v>901</v>
      </c>
      <c r="W918">
        <v>30</v>
      </c>
      <c r="Y918" s="6">
        <v>916</v>
      </c>
      <c r="Z918">
        <v>50</v>
      </c>
      <c r="AB918" s="6">
        <v>902</v>
      </c>
      <c r="AC918">
        <v>1</v>
      </c>
    </row>
    <row r="919" spans="1:29" x14ac:dyDescent="0.25">
      <c r="A919">
        <v>918</v>
      </c>
      <c r="B919" s="1">
        <v>45253</v>
      </c>
      <c r="C919" t="s">
        <v>946</v>
      </c>
      <c r="D919" t="s">
        <v>16</v>
      </c>
      <c r="E919">
        <v>42</v>
      </c>
      <c r="F919" t="s">
        <v>20</v>
      </c>
      <c r="G919">
        <v>3</v>
      </c>
      <c r="H919">
        <v>30</v>
      </c>
      <c r="I919">
        <v>90</v>
      </c>
      <c r="J919" t="str">
        <f t="shared" si="14"/>
        <v>36-45</v>
      </c>
      <c r="M919" s="6" t="s">
        <v>832</v>
      </c>
      <c r="N919">
        <v>30</v>
      </c>
      <c r="V919" s="6">
        <v>902</v>
      </c>
      <c r="W919">
        <v>50</v>
      </c>
      <c r="Y919" s="6">
        <v>917</v>
      </c>
      <c r="Z919">
        <v>200</v>
      </c>
      <c r="AB919" s="6">
        <v>903</v>
      </c>
      <c r="AC919">
        <v>4</v>
      </c>
    </row>
    <row r="920" spans="1:29" x14ac:dyDescent="0.25">
      <c r="A920">
        <v>919</v>
      </c>
      <c r="B920" s="1">
        <v>45178</v>
      </c>
      <c r="C920" t="s">
        <v>947</v>
      </c>
      <c r="D920" t="s">
        <v>16</v>
      </c>
      <c r="E920">
        <v>22</v>
      </c>
      <c r="F920" t="s">
        <v>13</v>
      </c>
      <c r="G920">
        <v>2</v>
      </c>
      <c r="H920">
        <v>25</v>
      </c>
      <c r="I920">
        <v>50</v>
      </c>
      <c r="J920" t="str">
        <f t="shared" si="14"/>
        <v>18-25</v>
      </c>
      <c r="M920" s="6" t="s">
        <v>800</v>
      </c>
      <c r="N920">
        <v>30</v>
      </c>
      <c r="V920" s="6">
        <v>903</v>
      </c>
      <c r="W920">
        <v>200</v>
      </c>
      <c r="Y920" s="6">
        <v>918</v>
      </c>
      <c r="Z920">
        <v>90</v>
      </c>
      <c r="AB920" s="6">
        <v>904</v>
      </c>
      <c r="AC920">
        <v>1</v>
      </c>
    </row>
    <row r="921" spans="1:29" x14ac:dyDescent="0.25">
      <c r="A921">
        <v>920</v>
      </c>
      <c r="B921" s="1">
        <v>44979</v>
      </c>
      <c r="C921" t="s">
        <v>948</v>
      </c>
      <c r="D921" t="s">
        <v>16</v>
      </c>
      <c r="E921">
        <v>28</v>
      </c>
      <c r="F921" t="s">
        <v>13</v>
      </c>
      <c r="G921">
        <v>3</v>
      </c>
      <c r="H921">
        <v>25</v>
      </c>
      <c r="I921">
        <v>75</v>
      </c>
      <c r="J921" t="str">
        <f t="shared" si="14"/>
        <v>26-35</v>
      </c>
      <c r="M921" s="6" t="s">
        <v>546</v>
      </c>
      <c r="N921">
        <v>30</v>
      </c>
      <c r="V921" s="6">
        <v>904</v>
      </c>
      <c r="W921">
        <v>500</v>
      </c>
      <c r="Y921" s="6">
        <v>919</v>
      </c>
      <c r="Z921">
        <v>50</v>
      </c>
      <c r="AB921" s="6">
        <v>905</v>
      </c>
      <c r="AC921">
        <v>1</v>
      </c>
    </row>
    <row r="922" spans="1:29" x14ac:dyDescent="0.25">
      <c r="A922">
        <v>921</v>
      </c>
      <c r="B922" s="1">
        <v>44933</v>
      </c>
      <c r="C922" t="s">
        <v>949</v>
      </c>
      <c r="D922" t="s">
        <v>12</v>
      </c>
      <c r="E922">
        <v>51</v>
      </c>
      <c r="F922" t="s">
        <v>20</v>
      </c>
      <c r="G922">
        <v>3</v>
      </c>
      <c r="H922">
        <v>25</v>
      </c>
      <c r="I922">
        <v>75</v>
      </c>
      <c r="J922" t="str">
        <f t="shared" si="14"/>
        <v>46-60</v>
      </c>
      <c r="M922" s="6" t="s">
        <v>517</v>
      </c>
      <c r="N922">
        <v>30</v>
      </c>
      <c r="V922" s="6">
        <v>905</v>
      </c>
      <c r="W922">
        <v>300</v>
      </c>
      <c r="Y922" s="6">
        <v>920</v>
      </c>
      <c r="Z922">
        <v>75</v>
      </c>
      <c r="AB922" s="6">
        <v>906</v>
      </c>
      <c r="AC922">
        <v>1</v>
      </c>
    </row>
    <row r="923" spans="1:29" x14ac:dyDescent="0.25">
      <c r="A923">
        <v>922</v>
      </c>
      <c r="B923" s="1">
        <v>45220</v>
      </c>
      <c r="C923" t="s">
        <v>950</v>
      </c>
      <c r="D923" t="s">
        <v>12</v>
      </c>
      <c r="E923">
        <v>41</v>
      </c>
      <c r="F923" t="s">
        <v>20</v>
      </c>
      <c r="G923">
        <v>1</v>
      </c>
      <c r="H923">
        <v>50</v>
      </c>
      <c r="I923">
        <v>50</v>
      </c>
      <c r="J923" t="str">
        <f t="shared" si="14"/>
        <v>36-45</v>
      </c>
      <c r="M923" s="6" t="s">
        <v>466</v>
      </c>
      <c r="N923">
        <v>30</v>
      </c>
      <c r="V923" s="6">
        <v>906</v>
      </c>
      <c r="W923">
        <v>50</v>
      </c>
      <c r="Y923" s="6">
        <v>921</v>
      </c>
      <c r="Z923">
        <v>75</v>
      </c>
      <c r="AB923" s="6">
        <v>907</v>
      </c>
      <c r="AC923">
        <v>1</v>
      </c>
    </row>
    <row r="924" spans="1:29" x14ac:dyDescent="0.25">
      <c r="A924">
        <v>923</v>
      </c>
      <c r="B924" s="1">
        <v>45072</v>
      </c>
      <c r="C924" t="s">
        <v>951</v>
      </c>
      <c r="D924" t="s">
        <v>12</v>
      </c>
      <c r="E924">
        <v>32</v>
      </c>
      <c r="F924" t="s">
        <v>13</v>
      </c>
      <c r="G924">
        <v>3</v>
      </c>
      <c r="H924">
        <v>300</v>
      </c>
      <c r="I924">
        <v>900</v>
      </c>
      <c r="J924" t="str">
        <f t="shared" si="14"/>
        <v>26-35</v>
      </c>
      <c r="M924" s="6" t="s">
        <v>415</v>
      </c>
      <c r="N924">
        <v>30</v>
      </c>
      <c r="V924" s="6">
        <v>907</v>
      </c>
      <c r="W924">
        <v>25</v>
      </c>
      <c r="Y924" s="6">
        <v>922</v>
      </c>
      <c r="Z924">
        <v>50</v>
      </c>
      <c r="AB924" s="6">
        <v>908</v>
      </c>
      <c r="AC924">
        <v>4</v>
      </c>
    </row>
    <row r="925" spans="1:29" x14ac:dyDescent="0.25">
      <c r="A925">
        <v>924</v>
      </c>
      <c r="B925" s="1">
        <v>45167</v>
      </c>
      <c r="C925" t="s">
        <v>952</v>
      </c>
      <c r="D925" t="s">
        <v>12</v>
      </c>
      <c r="E925">
        <v>55</v>
      </c>
      <c r="F925" t="s">
        <v>13</v>
      </c>
      <c r="G925">
        <v>2</v>
      </c>
      <c r="H925">
        <v>50</v>
      </c>
      <c r="I925">
        <v>100</v>
      </c>
      <c r="J925" t="str">
        <f t="shared" si="14"/>
        <v>46-60</v>
      </c>
      <c r="M925" s="6" t="s">
        <v>511</v>
      </c>
      <c r="N925">
        <v>30</v>
      </c>
      <c r="V925" s="6">
        <v>908</v>
      </c>
      <c r="W925">
        <v>1200</v>
      </c>
      <c r="Y925" s="6">
        <v>923</v>
      </c>
      <c r="Z925">
        <v>900</v>
      </c>
      <c r="AB925" s="6">
        <v>909</v>
      </c>
      <c r="AC925">
        <v>1</v>
      </c>
    </row>
    <row r="926" spans="1:29" x14ac:dyDescent="0.25">
      <c r="A926">
        <v>925</v>
      </c>
      <c r="B926" s="1">
        <v>45172</v>
      </c>
      <c r="C926" t="s">
        <v>953</v>
      </c>
      <c r="D926" t="s">
        <v>12</v>
      </c>
      <c r="E926">
        <v>25</v>
      </c>
      <c r="F926" t="s">
        <v>20</v>
      </c>
      <c r="G926">
        <v>1</v>
      </c>
      <c r="H926">
        <v>300</v>
      </c>
      <c r="I926">
        <v>300</v>
      </c>
      <c r="J926" t="str">
        <f t="shared" si="14"/>
        <v>18-25</v>
      </c>
      <c r="M926" s="6" t="s">
        <v>594</v>
      </c>
      <c r="N926">
        <v>30</v>
      </c>
      <c r="V926" s="6">
        <v>909</v>
      </c>
      <c r="W926">
        <v>300</v>
      </c>
      <c r="Y926" s="6">
        <v>924</v>
      </c>
      <c r="Z926">
        <v>100</v>
      </c>
      <c r="AB926" s="6">
        <v>910</v>
      </c>
      <c r="AC926">
        <v>3</v>
      </c>
    </row>
    <row r="927" spans="1:29" x14ac:dyDescent="0.25">
      <c r="A927">
        <v>926</v>
      </c>
      <c r="B927" s="1">
        <v>45152</v>
      </c>
      <c r="C927" t="s">
        <v>954</v>
      </c>
      <c r="D927" t="s">
        <v>12</v>
      </c>
      <c r="E927">
        <v>22</v>
      </c>
      <c r="F927" t="s">
        <v>20</v>
      </c>
      <c r="G927">
        <v>1</v>
      </c>
      <c r="H927">
        <v>30</v>
      </c>
      <c r="I927">
        <v>30</v>
      </c>
      <c r="J927" t="str">
        <f t="shared" si="14"/>
        <v>18-25</v>
      </c>
      <c r="M927" s="6" t="s">
        <v>424</v>
      </c>
      <c r="N927">
        <v>30</v>
      </c>
      <c r="V927" s="6">
        <v>910</v>
      </c>
      <c r="W927">
        <v>150</v>
      </c>
      <c r="Y927" s="6">
        <v>925</v>
      </c>
      <c r="Z927">
        <v>300</v>
      </c>
      <c r="AB927" s="6">
        <v>911</v>
      </c>
      <c r="AC927">
        <v>3</v>
      </c>
    </row>
    <row r="928" spans="1:29" x14ac:dyDescent="0.25">
      <c r="A928">
        <v>927</v>
      </c>
      <c r="B928" s="1">
        <v>45101</v>
      </c>
      <c r="C928" t="s">
        <v>955</v>
      </c>
      <c r="D928" t="s">
        <v>12</v>
      </c>
      <c r="E928">
        <v>43</v>
      </c>
      <c r="F928" t="s">
        <v>20</v>
      </c>
      <c r="G928">
        <v>4</v>
      </c>
      <c r="H928">
        <v>500</v>
      </c>
      <c r="I928">
        <v>2000</v>
      </c>
      <c r="J928" t="str">
        <f t="shared" si="14"/>
        <v>36-45</v>
      </c>
      <c r="M928" s="6" t="s">
        <v>645</v>
      </c>
      <c r="N928">
        <v>30</v>
      </c>
      <c r="V928" s="6">
        <v>911</v>
      </c>
      <c r="W928">
        <v>900</v>
      </c>
      <c r="Y928" s="6">
        <v>926</v>
      </c>
      <c r="Z928">
        <v>30</v>
      </c>
      <c r="AB928" s="6">
        <v>912</v>
      </c>
      <c r="AC928">
        <v>3</v>
      </c>
    </row>
    <row r="929" spans="1:29" x14ac:dyDescent="0.25">
      <c r="A929">
        <v>928</v>
      </c>
      <c r="B929" s="1">
        <v>45021</v>
      </c>
      <c r="C929" t="s">
        <v>956</v>
      </c>
      <c r="D929" t="s">
        <v>16</v>
      </c>
      <c r="E929">
        <v>35</v>
      </c>
      <c r="F929" t="s">
        <v>17</v>
      </c>
      <c r="G929">
        <v>4</v>
      </c>
      <c r="H929">
        <v>300</v>
      </c>
      <c r="I929">
        <v>1200</v>
      </c>
      <c r="J929" t="str">
        <f t="shared" si="14"/>
        <v>26-35</v>
      </c>
      <c r="M929" s="6" t="s">
        <v>373</v>
      </c>
      <c r="N929">
        <v>30</v>
      </c>
      <c r="V929" s="6">
        <v>912</v>
      </c>
      <c r="W929">
        <v>150</v>
      </c>
      <c r="Y929" s="6">
        <v>927</v>
      </c>
      <c r="Z929">
        <v>2000</v>
      </c>
      <c r="AB929" s="6">
        <v>913</v>
      </c>
      <c r="AC929">
        <v>3</v>
      </c>
    </row>
    <row r="930" spans="1:29" x14ac:dyDescent="0.25">
      <c r="A930">
        <v>929</v>
      </c>
      <c r="B930" s="1">
        <v>44953</v>
      </c>
      <c r="C930" t="s">
        <v>957</v>
      </c>
      <c r="D930" t="s">
        <v>16</v>
      </c>
      <c r="E930">
        <v>23</v>
      </c>
      <c r="F930" t="s">
        <v>13</v>
      </c>
      <c r="G930">
        <v>3</v>
      </c>
      <c r="H930">
        <v>25</v>
      </c>
      <c r="I930">
        <v>75</v>
      </c>
      <c r="J930" t="str">
        <f t="shared" si="14"/>
        <v>18-25</v>
      </c>
      <c r="M930" s="6" t="s">
        <v>479</v>
      </c>
      <c r="N930">
        <v>30</v>
      </c>
      <c r="V930" s="6">
        <v>913</v>
      </c>
      <c r="W930">
        <v>90</v>
      </c>
      <c r="Y930" s="6">
        <v>928</v>
      </c>
      <c r="Z930">
        <v>1200</v>
      </c>
      <c r="AB930" s="6">
        <v>914</v>
      </c>
      <c r="AC930">
        <v>1</v>
      </c>
    </row>
    <row r="931" spans="1:29" x14ac:dyDescent="0.25">
      <c r="A931">
        <v>930</v>
      </c>
      <c r="B931" s="1">
        <v>45056</v>
      </c>
      <c r="C931" t="s">
        <v>958</v>
      </c>
      <c r="D931" t="s">
        <v>12</v>
      </c>
      <c r="E931">
        <v>54</v>
      </c>
      <c r="F931" t="s">
        <v>17</v>
      </c>
      <c r="G931">
        <v>4</v>
      </c>
      <c r="H931">
        <v>50</v>
      </c>
      <c r="I931">
        <v>200</v>
      </c>
      <c r="J931" t="str">
        <f t="shared" si="14"/>
        <v>46-60</v>
      </c>
      <c r="M931" s="6" t="s">
        <v>687</v>
      </c>
      <c r="N931">
        <v>30</v>
      </c>
      <c r="V931" s="6">
        <v>914</v>
      </c>
      <c r="W931">
        <v>500</v>
      </c>
      <c r="Y931" s="6">
        <v>929</v>
      </c>
      <c r="Z931">
        <v>75</v>
      </c>
      <c r="AB931" s="6">
        <v>915</v>
      </c>
      <c r="AC931">
        <v>3</v>
      </c>
    </row>
    <row r="932" spans="1:29" x14ac:dyDescent="0.25">
      <c r="A932">
        <v>931</v>
      </c>
      <c r="B932" s="1">
        <v>45171</v>
      </c>
      <c r="C932" t="s">
        <v>959</v>
      </c>
      <c r="D932" t="s">
        <v>12</v>
      </c>
      <c r="E932">
        <v>30</v>
      </c>
      <c r="F932" t="s">
        <v>13</v>
      </c>
      <c r="G932">
        <v>4</v>
      </c>
      <c r="H932">
        <v>30</v>
      </c>
      <c r="I932">
        <v>120</v>
      </c>
      <c r="J932" t="str">
        <f t="shared" si="14"/>
        <v>26-35</v>
      </c>
      <c r="M932" s="6" t="s">
        <v>607</v>
      </c>
      <c r="N932">
        <v>30</v>
      </c>
      <c r="V932" s="6">
        <v>915</v>
      </c>
      <c r="W932">
        <v>90</v>
      </c>
      <c r="Y932" s="6">
        <v>930</v>
      </c>
      <c r="Z932">
        <v>200</v>
      </c>
      <c r="AB932" s="6">
        <v>916</v>
      </c>
      <c r="AC932">
        <v>1</v>
      </c>
    </row>
    <row r="933" spans="1:29" x14ac:dyDescent="0.25">
      <c r="A933">
        <v>932</v>
      </c>
      <c r="B933" s="1">
        <v>44985</v>
      </c>
      <c r="C933" t="s">
        <v>960</v>
      </c>
      <c r="D933" t="s">
        <v>16</v>
      </c>
      <c r="E933">
        <v>45</v>
      </c>
      <c r="F933" t="s">
        <v>13</v>
      </c>
      <c r="G933">
        <v>4</v>
      </c>
      <c r="H933">
        <v>25</v>
      </c>
      <c r="I933">
        <v>100</v>
      </c>
      <c r="J933" t="str">
        <f t="shared" si="14"/>
        <v>36-45</v>
      </c>
      <c r="M933" s="6" t="s">
        <v>513</v>
      </c>
      <c r="N933">
        <v>30</v>
      </c>
      <c r="V933" s="6">
        <v>916</v>
      </c>
      <c r="W933">
        <v>50</v>
      </c>
      <c r="Y933" s="6">
        <v>931</v>
      </c>
      <c r="Z933">
        <v>120</v>
      </c>
      <c r="AB933" s="6">
        <v>917</v>
      </c>
      <c r="AC933">
        <v>4</v>
      </c>
    </row>
    <row r="934" spans="1:29" x14ac:dyDescent="0.25">
      <c r="A934">
        <v>933</v>
      </c>
      <c r="B934" s="1">
        <v>44960</v>
      </c>
      <c r="C934" t="s">
        <v>961</v>
      </c>
      <c r="D934" t="s">
        <v>12</v>
      </c>
      <c r="E934">
        <v>22</v>
      </c>
      <c r="F934" t="s">
        <v>13</v>
      </c>
      <c r="G934">
        <v>1</v>
      </c>
      <c r="H934">
        <v>30</v>
      </c>
      <c r="I934">
        <v>30</v>
      </c>
      <c r="J934" t="str">
        <f t="shared" si="14"/>
        <v>18-25</v>
      </c>
      <c r="M934" s="6" t="s">
        <v>372</v>
      </c>
      <c r="N934">
        <v>30</v>
      </c>
      <c r="V934" s="6">
        <v>917</v>
      </c>
      <c r="W934">
        <v>200</v>
      </c>
      <c r="Y934" s="6">
        <v>932</v>
      </c>
      <c r="Z934">
        <v>100</v>
      </c>
      <c r="AB934" s="6">
        <v>918</v>
      </c>
      <c r="AC934">
        <v>3</v>
      </c>
    </row>
    <row r="935" spans="1:29" x14ac:dyDescent="0.25">
      <c r="A935">
        <v>934</v>
      </c>
      <c r="B935" s="1">
        <v>45132</v>
      </c>
      <c r="C935" t="s">
        <v>962</v>
      </c>
      <c r="D935" t="s">
        <v>12</v>
      </c>
      <c r="E935">
        <v>30</v>
      </c>
      <c r="F935" t="s">
        <v>13</v>
      </c>
      <c r="G935">
        <v>1</v>
      </c>
      <c r="H935">
        <v>500</v>
      </c>
      <c r="I935">
        <v>500</v>
      </c>
      <c r="J935" t="str">
        <f t="shared" si="14"/>
        <v>26-35</v>
      </c>
      <c r="M935" s="6" t="s">
        <v>404</v>
      </c>
      <c r="N935">
        <v>30</v>
      </c>
      <c r="V935" s="6">
        <v>918</v>
      </c>
      <c r="W935">
        <v>90</v>
      </c>
      <c r="Y935" s="6">
        <v>933</v>
      </c>
      <c r="Z935">
        <v>30</v>
      </c>
      <c r="AB935" s="6">
        <v>919</v>
      </c>
      <c r="AC935">
        <v>2</v>
      </c>
    </row>
    <row r="936" spans="1:29" x14ac:dyDescent="0.25">
      <c r="A936">
        <v>935</v>
      </c>
      <c r="B936" s="1">
        <v>45178</v>
      </c>
      <c r="C936" t="s">
        <v>963</v>
      </c>
      <c r="D936" t="s">
        <v>16</v>
      </c>
      <c r="E936">
        <v>34</v>
      </c>
      <c r="F936" t="s">
        <v>13</v>
      </c>
      <c r="G936">
        <v>1</v>
      </c>
      <c r="H936">
        <v>50</v>
      </c>
      <c r="I936">
        <v>50</v>
      </c>
      <c r="J936" t="str">
        <f t="shared" si="14"/>
        <v>26-35</v>
      </c>
      <c r="M936" s="6" t="s">
        <v>629</v>
      </c>
      <c r="N936">
        <v>30</v>
      </c>
      <c r="V936" s="6">
        <v>919</v>
      </c>
      <c r="W936">
        <v>50</v>
      </c>
      <c r="Y936" s="6">
        <v>934</v>
      </c>
      <c r="Z936">
        <v>500</v>
      </c>
      <c r="AB936" s="6">
        <v>920</v>
      </c>
      <c r="AC936">
        <v>3</v>
      </c>
    </row>
    <row r="937" spans="1:29" x14ac:dyDescent="0.25">
      <c r="A937">
        <v>936</v>
      </c>
      <c r="B937" s="1">
        <v>44964</v>
      </c>
      <c r="C937" t="s">
        <v>964</v>
      </c>
      <c r="D937" t="s">
        <v>12</v>
      </c>
      <c r="E937">
        <v>57</v>
      </c>
      <c r="F937" t="s">
        <v>13</v>
      </c>
      <c r="G937">
        <v>4</v>
      </c>
      <c r="H937">
        <v>50</v>
      </c>
      <c r="I937">
        <v>200</v>
      </c>
      <c r="J937" t="str">
        <f t="shared" si="14"/>
        <v>46-60</v>
      </c>
      <c r="M937" s="6" t="s">
        <v>678</v>
      </c>
      <c r="N937">
        <v>30</v>
      </c>
      <c r="V937" s="6">
        <v>920</v>
      </c>
      <c r="W937">
        <v>75</v>
      </c>
      <c r="Y937" s="6">
        <v>935</v>
      </c>
      <c r="Z937">
        <v>50</v>
      </c>
      <c r="AB937" s="6">
        <v>921</v>
      </c>
      <c r="AC937">
        <v>3</v>
      </c>
    </row>
    <row r="938" spans="1:29" x14ac:dyDescent="0.25">
      <c r="A938">
        <v>937</v>
      </c>
      <c r="B938" s="1">
        <v>45222</v>
      </c>
      <c r="C938" t="s">
        <v>965</v>
      </c>
      <c r="D938" t="s">
        <v>16</v>
      </c>
      <c r="E938">
        <v>62</v>
      </c>
      <c r="F938" t="s">
        <v>13</v>
      </c>
      <c r="G938">
        <v>1</v>
      </c>
      <c r="H938">
        <v>500</v>
      </c>
      <c r="I938">
        <v>500</v>
      </c>
      <c r="J938" t="b">
        <f t="shared" si="14"/>
        <v>0</v>
      </c>
      <c r="M938" s="6" t="s">
        <v>296</v>
      </c>
      <c r="N938">
        <v>30</v>
      </c>
      <c r="V938" s="6">
        <v>921</v>
      </c>
      <c r="W938">
        <v>75</v>
      </c>
      <c r="Y938" s="6">
        <v>936</v>
      </c>
      <c r="Z938">
        <v>200</v>
      </c>
      <c r="AB938" s="6">
        <v>922</v>
      </c>
      <c r="AC938">
        <v>1</v>
      </c>
    </row>
    <row r="939" spans="1:29" x14ac:dyDescent="0.25">
      <c r="A939">
        <v>938</v>
      </c>
      <c r="B939" s="1">
        <v>45249</v>
      </c>
      <c r="C939" t="s">
        <v>966</v>
      </c>
      <c r="D939" t="s">
        <v>12</v>
      </c>
      <c r="E939">
        <v>49</v>
      </c>
      <c r="F939" t="s">
        <v>17</v>
      </c>
      <c r="G939">
        <v>4</v>
      </c>
      <c r="H939">
        <v>50</v>
      </c>
      <c r="I939">
        <v>200</v>
      </c>
      <c r="J939" t="str">
        <f t="shared" si="14"/>
        <v>46-60</v>
      </c>
      <c r="M939" s="6" t="s">
        <v>283</v>
      </c>
      <c r="N939">
        <v>30</v>
      </c>
      <c r="V939" s="6">
        <v>922</v>
      </c>
      <c r="W939">
        <v>50</v>
      </c>
      <c r="Y939" s="6">
        <v>937</v>
      </c>
      <c r="Z939">
        <v>500</v>
      </c>
      <c r="AB939" s="6">
        <v>923</v>
      </c>
      <c r="AC939">
        <v>3</v>
      </c>
    </row>
    <row r="940" spans="1:29" x14ac:dyDescent="0.25">
      <c r="A940">
        <v>939</v>
      </c>
      <c r="B940" s="1">
        <v>45278</v>
      </c>
      <c r="C940" t="s">
        <v>967</v>
      </c>
      <c r="D940" t="s">
        <v>16</v>
      </c>
      <c r="E940">
        <v>46</v>
      </c>
      <c r="F940" t="s">
        <v>20</v>
      </c>
      <c r="G940">
        <v>1</v>
      </c>
      <c r="H940">
        <v>300</v>
      </c>
      <c r="I940">
        <v>300</v>
      </c>
      <c r="J940" t="str">
        <f t="shared" si="14"/>
        <v>46-60</v>
      </c>
      <c r="M940" s="6" t="s">
        <v>144</v>
      </c>
      <c r="N940">
        <v>30</v>
      </c>
      <c r="V940" s="6">
        <v>923</v>
      </c>
      <c r="W940">
        <v>900</v>
      </c>
      <c r="Y940" s="6">
        <v>938</v>
      </c>
      <c r="Z940">
        <v>200</v>
      </c>
      <c r="AB940" s="6">
        <v>924</v>
      </c>
      <c r="AC940">
        <v>2</v>
      </c>
    </row>
    <row r="941" spans="1:29" x14ac:dyDescent="0.25">
      <c r="A941">
        <v>940</v>
      </c>
      <c r="B941" s="1">
        <v>44954</v>
      </c>
      <c r="C941" t="s">
        <v>968</v>
      </c>
      <c r="D941" t="s">
        <v>16</v>
      </c>
      <c r="E941">
        <v>20</v>
      </c>
      <c r="F941" t="s">
        <v>20</v>
      </c>
      <c r="G941">
        <v>1</v>
      </c>
      <c r="H941">
        <v>30</v>
      </c>
      <c r="I941">
        <v>30</v>
      </c>
      <c r="J941" t="str">
        <f t="shared" si="14"/>
        <v>18-25</v>
      </c>
      <c r="M941" s="6" t="s">
        <v>333</v>
      </c>
      <c r="N941">
        <v>30</v>
      </c>
      <c r="V941" s="6">
        <v>924</v>
      </c>
      <c r="W941">
        <v>100</v>
      </c>
      <c r="Y941" s="6">
        <v>939</v>
      </c>
      <c r="Z941">
        <v>300</v>
      </c>
      <c r="AB941" s="6">
        <v>925</v>
      </c>
      <c r="AC941">
        <v>1</v>
      </c>
    </row>
    <row r="942" spans="1:29" x14ac:dyDescent="0.25">
      <c r="A942">
        <v>941</v>
      </c>
      <c r="B942" s="1">
        <v>45004</v>
      </c>
      <c r="C942" t="s">
        <v>969</v>
      </c>
      <c r="D942" t="s">
        <v>16</v>
      </c>
      <c r="E942">
        <v>57</v>
      </c>
      <c r="F942" t="s">
        <v>17</v>
      </c>
      <c r="G942">
        <v>2</v>
      </c>
      <c r="H942">
        <v>25</v>
      </c>
      <c r="I942">
        <v>50</v>
      </c>
      <c r="J942" t="str">
        <f t="shared" si="14"/>
        <v>46-60</v>
      </c>
      <c r="M942" s="6" t="s">
        <v>57</v>
      </c>
      <c r="N942">
        <v>30</v>
      </c>
      <c r="V942" s="6">
        <v>925</v>
      </c>
      <c r="W942">
        <v>300</v>
      </c>
      <c r="Y942" s="6">
        <v>940</v>
      </c>
      <c r="Z942">
        <v>30</v>
      </c>
      <c r="AB942" s="6">
        <v>926</v>
      </c>
      <c r="AC942">
        <v>1</v>
      </c>
    </row>
    <row r="943" spans="1:29" x14ac:dyDescent="0.25">
      <c r="A943">
        <v>942</v>
      </c>
      <c r="B943" s="1">
        <v>45003</v>
      </c>
      <c r="C943" t="s">
        <v>970</v>
      </c>
      <c r="D943" t="s">
        <v>12</v>
      </c>
      <c r="E943">
        <v>51</v>
      </c>
      <c r="F943" t="s">
        <v>17</v>
      </c>
      <c r="G943">
        <v>3</v>
      </c>
      <c r="H943">
        <v>500</v>
      </c>
      <c r="I943">
        <v>1500</v>
      </c>
      <c r="J943" t="str">
        <f t="shared" si="14"/>
        <v>46-60</v>
      </c>
      <c r="M943" s="6" t="s">
        <v>94</v>
      </c>
      <c r="N943">
        <v>30</v>
      </c>
      <c r="V943" s="6">
        <v>926</v>
      </c>
      <c r="W943">
        <v>30</v>
      </c>
      <c r="Y943" s="6">
        <v>941</v>
      </c>
      <c r="Z943">
        <v>50</v>
      </c>
      <c r="AB943" s="6">
        <v>927</v>
      </c>
      <c r="AC943">
        <v>4</v>
      </c>
    </row>
    <row r="944" spans="1:29" x14ac:dyDescent="0.25">
      <c r="A944">
        <v>943</v>
      </c>
      <c r="B944" s="1">
        <v>45215</v>
      </c>
      <c r="C944" t="s">
        <v>971</v>
      </c>
      <c r="D944" t="s">
        <v>16</v>
      </c>
      <c r="E944">
        <v>57</v>
      </c>
      <c r="F944" t="s">
        <v>17</v>
      </c>
      <c r="G944">
        <v>4</v>
      </c>
      <c r="H944">
        <v>300</v>
      </c>
      <c r="I944">
        <v>1200</v>
      </c>
      <c r="J944" t="str">
        <f t="shared" si="14"/>
        <v>46-60</v>
      </c>
      <c r="M944" s="6" t="s">
        <v>168</v>
      </c>
      <c r="N944">
        <v>30</v>
      </c>
      <c r="V944" s="6">
        <v>927</v>
      </c>
      <c r="W944">
        <v>2000</v>
      </c>
      <c r="Y944" s="6">
        <v>942</v>
      </c>
      <c r="Z944">
        <v>1500</v>
      </c>
      <c r="AB944" s="6">
        <v>928</v>
      </c>
      <c r="AC944">
        <v>4</v>
      </c>
    </row>
    <row r="945" spans="1:29" x14ac:dyDescent="0.25">
      <c r="A945">
        <v>944</v>
      </c>
      <c r="B945" s="1">
        <v>45082</v>
      </c>
      <c r="C945" t="s">
        <v>972</v>
      </c>
      <c r="D945" t="s">
        <v>12</v>
      </c>
      <c r="E945">
        <v>44</v>
      </c>
      <c r="F945" t="s">
        <v>17</v>
      </c>
      <c r="G945">
        <v>2</v>
      </c>
      <c r="H945">
        <v>25</v>
      </c>
      <c r="I945">
        <v>50</v>
      </c>
      <c r="J945" t="str">
        <f t="shared" si="14"/>
        <v>36-45</v>
      </c>
      <c r="M945" s="6" t="s">
        <v>25</v>
      </c>
      <c r="N945">
        <v>30</v>
      </c>
      <c r="V945" s="6">
        <v>928</v>
      </c>
      <c r="W945">
        <v>1200</v>
      </c>
      <c r="Y945" s="6">
        <v>943</v>
      </c>
      <c r="Z945">
        <v>1200</v>
      </c>
      <c r="AB945" s="6">
        <v>929</v>
      </c>
      <c r="AC945">
        <v>3</v>
      </c>
    </row>
    <row r="946" spans="1:29" x14ac:dyDescent="0.25">
      <c r="A946">
        <v>945</v>
      </c>
      <c r="B946" s="1">
        <v>44970</v>
      </c>
      <c r="C946" t="s">
        <v>973</v>
      </c>
      <c r="D946" t="s">
        <v>12</v>
      </c>
      <c r="E946">
        <v>30</v>
      </c>
      <c r="F946" t="s">
        <v>13</v>
      </c>
      <c r="G946">
        <v>1</v>
      </c>
      <c r="H946">
        <v>25</v>
      </c>
      <c r="I946">
        <v>25</v>
      </c>
      <c r="J946" t="str">
        <f t="shared" si="14"/>
        <v>26-35</v>
      </c>
      <c r="M946" s="6" t="s">
        <v>85</v>
      </c>
      <c r="N946">
        <v>30</v>
      </c>
      <c r="V946" s="6">
        <v>929</v>
      </c>
      <c r="W946">
        <v>75</v>
      </c>
      <c r="Y946" s="6">
        <v>944</v>
      </c>
      <c r="Z946">
        <v>50</v>
      </c>
      <c r="AB946" s="6">
        <v>930</v>
      </c>
      <c r="AC946">
        <v>4</v>
      </c>
    </row>
    <row r="947" spans="1:29" x14ac:dyDescent="0.25">
      <c r="A947">
        <v>946</v>
      </c>
      <c r="B947" s="1">
        <v>45054</v>
      </c>
      <c r="C947" t="s">
        <v>974</v>
      </c>
      <c r="D947" t="s">
        <v>12</v>
      </c>
      <c r="E947">
        <v>62</v>
      </c>
      <c r="F947" t="s">
        <v>20</v>
      </c>
      <c r="G947">
        <v>4</v>
      </c>
      <c r="H947">
        <v>500</v>
      </c>
      <c r="I947">
        <v>2000</v>
      </c>
      <c r="J947" t="b">
        <f t="shared" si="14"/>
        <v>0</v>
      </c>
      <c r="M947" s="6" t="s">
        <v>118</v>
      </c>
      <c r="N947">
        <v>30</v>
      </c>
      <c r="V947" s="6">
        <v>930</v>
      </c>
      <c r="W947">
        <v>200</v>
      </c>
      <c r="Y947" s="6">
        <v>945</v>
      </c>
      <c r="Z947">
        <v>25</v>
      </c>
      <c r="AB947" s="6">
        <v>931</v>
      </c>
      <c r="AC947">
        <v>4</v>
      </c>
    </row>
    <row r="948" spans="1:29" x14ac:dyDescent="0.25">
      <c r="A948">
        <v>947</v>
      </c>
      <c r="B948" s="1">
        <v>44987</v>
      </c>
      <c r="C948" t="s">
        <v>975</v>
      </c>
      <c r="D948" t="s">
        <v>12</v>
      </c>
      <c r="E948">
        <v>50</v>
      </c>
      <c r="F948" t="s">
        <v>13</v>
      </c>
      <c r="G948">
        <v>1</v>
      </c>
      <c r="H948">
        <v>300</v>
      </c>
      <c r="I948">
        <v>300</v>
      </c>
      <c r="J948" t="str">
        <f t="shared" si="14"/>
        <v>46-60</v>
      </c>
      <c r="M948" s="6" t="s">
        <v>19</v>
      </c>
      <c r="N948">
        <v>30</v>
      </c>
      <c r="V948" s="6">
        <v>931</v>
      </c>
      <c r="W948">
        <v>120</v>
      </c>
      <c r="Y948" s="6">
        <v>946</v>
      </c>
      <c r="Z948">
        <v>2000</v>
      </c>
      <c r="AB948" s="6">
        <v>932</v>
      </c>
      <c r="AC948">
        <v>4</v>
      </c>
    </row>
    <row r="949" spans="1:29" x14ac:dyDescent="0.25">
      <c r="A949">
        <v>948</v>
      </c>
      <c r="B949" s="1">
        <v>45212</v>
      </c>
      <c r="C949" t="s">
        <v>976</v>
      </c>
      <c r="D949" t="s">
        <v>16</v>
      </c>
      <c r="E949">
        <v>23</v>
      </c>
      <c r="F949" t="s">
        <v>20</v>
      </c>
      <c r="G949">
        <v>3</v>
      </c>
      <c r="H949">
        <v>25</v>
      </c>
      <c r="I949">
        <v>75</v>
      </c>
      <c r="J949" t="str">
        <f t="shared" si="14"/>
        <v>18-25</v>
      </c>
      <c r="M949" s="6" t="s">
        <v>128</v>
      </c>
      <c r="N949">
        <v>30</v>
      </c>
      <c r="V949" s="6">
        <v>932</v>
      </c>
      <c r="W949">
        <v>100</v>
      </c>
      <c r="Y949" s="6">
        <v>947</v>
      </c>
      <c r="Z949">
        <v>300</v>
      </c>
      <c r="AB949" s="6">
        <v>933</v>
      </c>
      <c r="AC949">
        <v>1</v>
      </c>
    </row>
    <row r="950" spans="1:29" x14ac:dyDescent="0.25">
      <c r="A950">
        <v>949</v>
      </c>
      <c r="B950" s="1">
        <v>45140</v>
      </c>
      <c r="C950" t="s">
        <v>977</v>
      </c>
      <c r="D950" t="s">
        <v>16</v>
      </c>
      <c r="E950">
        <v>41</v>
      </c>
      <c r="F950" t="s">
        <v>20</v>
      </c>
      <c r="G950">
        <v>2</v>
      </c>
      <c r="H950">
        <v>25</v>
      </c>
      <c r="I950">
        <v>50</v>
      </c>
      <c r="J950" t="str">
        <f t="shared" si="14"/>
        <v>36-45</v>
      </c>
      <c r="M950" s="6" t="s">
        <v>73</v>
      </c>
      <c r="N950">
        <v>30</v>
      </c>
      <c r="V950" s="6">
        <v>933</v>
      </c>
      <c r="W950">
        <v>30</v>
      </c>
      <c r="Y950" s="6">
        <v>948</v>
      </c>
      <c r="Z950">
        <v>75</v>
      </c>
      <c r="AB950" s="6">
        <v>934</v>
      </c>
      <c r="AC950">
        <v>1</v>
      </c>
    </row>
    <row r="951" spans="1:29" x14ac:dyDescent="0.25">
      <c r="A951">
        <v>950</v>
      </c>
      <c r="B951" s="1">
        <v>45237</v>
      </c>
      <c r="C951" t="s">
        <v>978</v>
      </c>
      <c r="D951" t="s">
        <v>12</v>
      </c>
      <c r="E951">
        <v>36</v>
      </c>
      <c r="F951" t="s">
        <v>17</v>
      </c>
      <c r="G951">
        <v>3</v>
      </c>
      <c r="H951">
        <v>300</v>
      </c>
      <c r="I951">
        <v>900</v>
      </c>
      <c r="J951" t="str">
        <f t="shared" si="14"/>
        <v>36-45</v>
      </c>
      <c r="M951" s="6" t="s">
        <v>223</v>
      </c>
      <c r="N951">
        <v>30</v>
      </c>
      <c r="V951" s="6">
        <v>934</v>
      </c>
      <c r="W951">
        <v>500</v>
      </c>
      <c r="Y951" s="6">
        <v>949</v>
      </c>
      <c r="Z951">
        <v>50</v>
      </c>
      <c r="AB951" s="6">
        <v>935</v>
      </c>
      <c r="AC951">
        <v>1</v>
      </c>
    </row>
    <row r="952" spans="1:29" x14ac:dyDescent="0.25">
      <c r="A952">
        <v>951</v>
      </c>
      <c r="B952" s="1">
        <v>45232</v>
      </c>
      <c r="C952" t="s">
        <v>979</v>
      </c>
      <c r="D952" t="s">
        <v>12</v>
      </c>
      <c r="E952">
        <v>33</v>
      </c>
      <c r="F952" t="s">
        <v>13</v>
      </c>
      <c r="G952">
        <v>2</v>
      </c>
      <c r="H952">
        <v>50</v>
      </c>
      <c r="I952">
        <v>100</v>
      </c>
      <c r="J952" t="str">
        <f t="shared" si="14"/>
        <v>26-35</v>
      </c>
      <c r="M952" s="6" t="s">
        <v>883</v>
      </c>
      <c r="N952">
        <v>25</v>
      </c>
      <c r="V952" s="6">
        <v>935</v>
      </c>
      <c r="W952">
        <v>50</v>
      </c>
      <c r="Y952" s="6">
        <v>950</v>
      </c>
      <c r="Z952">
        <v>900</v>
      </c>
      <c r="AB952" s="6">
        <v>936</v>
      </c>
      <c r="AC952">
        <v>4</v>
      </c>
    </row>
    <row r="953" spans="1:29" x14ac:dyDescent="0.25">
      <c r="A953">
        <v>952</v>
      </c>
      <c r="B953" s="1">
        <v>45243</v>
      </c>
      <c r="C953" t="s">
        <v>980</v>
      </c>
      <c r="D953" t="s">
        <v>16</v>
      </c>
      <c r="E953">
        <v>57</v>
      </c>
      <c r="F953" t="s">
        <v>17</v>
      </c>
      <c r="G953">
        <v>1</v>
      </c>
      <c r="H953">
        <v>25</v>
      </c>
      <c r="I953">
        <v>25</v>
      </c>
      <c r="J953" t="str">
        <f t="shared" si="14"/>
        <v>46-60</v>
      </c>
      <c r="M953" s="6" t="s">
        <v>935</v>
      </c>
      <c r="N953">
        <v>25</v>
      </c>
      <c r="V953" s="6">
        <v>936</v>
      </c>
      <c r="W953">
        <v>200</v>
      </c>
      <c r="Y953" s="6">
        <v>951</v>
      </c>
      <c r="Z953">
        <v>100</v>
      </c>
      <c r="AB953" s="6">
        <v>937</v>
      </c>
      <c r="AC953">
        <v>1</v>
      </c>
    </row>
    <row r="954" spans="1:29" x14ac:dyDescent="0.25">
      <c r="A954">
        <v>953</v>
      </c>
      <c r="B954" s="1">
        <v>45042</v>
      </c>
      <c r="C954" t="s">
        <v>981</v>
      </c>
      <c r="D954" t="s">
        <v>12</v>
      </c>
      <c r="E954">
        <v>45</v>
      </c>
      <c r="F954" t="s">
        <v>13</v>
      </c>
      <c r="G954">
        <v>3</v>
      </c>
      <c r="H954">
        <v>30</v>
      </c>
      <c r="I954">
        <v>90</v>
      </c>
      <c r="J954" t="str">
        <f t="shared" si="14"/>
        <v>36-45</v>
      </c>
      <c r="M954" s="6" t="s">
        <v>792</v>
      </c>
      <c r="N954">
        <v>25</v>
      </c>
      <c r="V954" s="6">
        <v>937</v>
      </c>
      <c r="W954">
        <v>500</v>
      </c>
      <c r="Y954" s="6">
        <v>952</v>
      </c>
      <c r="Z954">
        <v>25</v>
      </c>
      <c r="AB954" s="6">
        <v>938</v>
      </c>
      <c r="AC954">
        <v>4</v>
      </c>
    </row>
    <row r="955" spans="1:29" x14ac:dyDescent="0.25">
      <c r="A955">
        <v>954</v>
      </c>
      <c r="B955" s="1">
        <v>45194</v>
      </c>
      <c r="C955" t="s">
        <v>982</v>
      </c>
      <c r="D955" t="s">
        <v>16</v>
      </c>
      <c r="E955">
        <v>50</v>
      </c>
      <c r="F955" t="s">
        <v>20</v>
      </c>
      <c r="G955">
        <v>3</v>
      </c>
      <c r="H955">
        <v>300</v>
      </c>
      <c r="I955">
        <v>900</v>
      </c>
      <c r="J955" t="str">
        <f t="shared" si="14"/>
        <v>46-60</v>
      </c>
      <c r="M955" s="6" t="s">
        <v>980</v>
      </c>
      <c r="N955">
        <v>25</v>
      </c>
      <c r="V955" s="6">
        <v>938</v>
      </c>
      <c r="W955">
        <v>200</v>
      </c>
      <c r="Y955" s="6">
        <v>953</v>
      </c>
      <c r="Z955">
        <v>90</v>
      </c>
      <c r="AB955" s="6">
        <v>939</v>
      </c>
      <c r="AC955">
        <v>1</v>
      </c>
    </row>
    <row r="956" spans="1:29" x14ac:dyDescent="0.25">
      <c r="A956">
        <v>955</v>
      </c>
      <c r="B956" s="1">
        <v>45121</v>
      </c>
      <c r="C956" t="s">
        <v>983</v>
      </c>
      <c r="D956" t="s">
        <v>12</v>
      </c>
      <c r="E956">
        <v>58</v>
      </c>
      <c r="F956" t="s">
        <v>17</v>
      </c>
      <c r="G956">
        <v>1</v>
      </c>
      <c r="H956">
        <v>25</v>
      </c>
      <c r="I956">
        <v>25</v>
      </c>
      <c r="J956" t="str">
        <f t="shared" si="14"/>
        <v>46-60</v>
      </c>
      <c r="M956" s="6" t="s">
        <v>819</v>
      </c>
      <c r="N956">
        <v>25</v>
      </c>
      <c r="V956" s="6">
        <v>939</v>
      </c>
      <c r="W956">
        <v>300</v>
      </c>
      <c r="Y956" s="6">
        <v>954</v>
      </c>
      <c r="Z956">
        <v>900</v>
      </c>
      <c r="AB956" s="6">
        <v>940</v>
      </c>
      <c r="AC956">
        <v>1</v>
      </c>
    </row>
    <row r="957" spans="1:29" x14ac:dyDescent="0.25">
      <c r="A957">
        <v>956</v>
      </c>
      <c r="B957" s="1">
        <v>45157</v>
      </c>
      <c r="C957" t="s">
        <v>984</v>
      </c>
      <c r="D957" t="s">
        <v>12</v>
      </c>
      <c r="E957">
        <v>30</v>
      </c>
      <c r="F957" t="s">
        <v>17</v>
      </c>
      <c r="G957">
        <v>3</v>
      </c>
      <c r="H957">
        <v>500</v>
      </c>
      <c r="I957">
        <v>1500</v>
      </c>
      <c r="J957" t="str">
        <f t="shared" si="14"/>
        <v>26-35</v>
      </c>
      <c r="M957" s="6" t="s">
        <v>772</v>
      </c>
      <c r="N957">
        <v>25</v>
      </c>
      <c r="V957" s="6">
        <v>940</v>
      </c>
      <c r="W957">
        <v>30</v>
      </c>
      <c r="Y957" s="6">
        <v>955</v>
      </c>
      <c r="Z957">
        <v>25</v>
      </c>
      <c r="AB957" s="6">
        <v>941</v>
      </c>
      <c r="AC957">
        <v>2</v>
      </c>
    </row>
    <row r="958" spans="1:29" x14ac:dyDescent="0.25">
      <c r="A958">
        <v>957</v>
      </c>
      <c r="B958" s="1">
        <v>45153</v>
      </c>
      <c r="C958" t="s">
        <v>985</v>
      </c>
      <c r="D958" t="s">
        <v>16</v>
      </c>
      <c r="E958">
        <v>60</v>
      </c>
      <c r="F958" t="s">
        <v>20</v>
      </c>
      <c r="G958">
        <v>4</v>
      </c>
      <c r="H958">
        <v>30</v>
      </c>
      <c r="I958">
        <v>120</v>
      </c>
      <c r="J958" t="str">
        <f t="shared" si="14"/>
        <v>46-60</v>
      </c>
      <c r="M958" s="6" t="s">
        <v>818</v>
      </c>
      <c r="N958">
        <v>25</v>
      </c>
      <c r="V958" s="6">
        <v>941</v>
      </c>
      <c r="W958">
        <v>50</v>
      </c>
      <c r="Y958" s="6">
        <v>956</v>
      </c>
      <c r="Z958">
        <v>1500</v>
      </c>
      <c r="AB958" s="6">
        <v>942</v>
      </c>
      <c r="AC958">
        <v>3</v>
      </c>
    </row>
    <row r="959" spans="1:29" x14ac:dyDescent="0.25">
      <c r="A959">
        <v>958</v>
      </c>
      <c r="B959" s="1">
        <v>45079</v>
      </c>
      <c r="C959" t="s">
        <v>986</v>
      </c>
      <c r="D959" t="s">
        <v>12</v>
      </c>
      <c r="E959">
        <v>62</v>
      </c>
      <c r="F959" t="s">
        <v>20</v>
      </c>
      <c r="G959">
        <v>2</v>
      </c>
      <c r="H959">
        <v>25</v>
      </c>
      <c r="I959">
        <v>50</v>
      </c>
      <c r="J959" t="b">
        <f t="shared" si="14"/>
        <v>0</v>
      </c>
      <c r="M959" s="6" t="s">
        <v>767</v>
      </c>
      <c r="N959">
        <v>25</v>
      </c>
      <c r="V959" s="6">
        <v>942</v>
      </c>
      <c r="W959">
        <v>1500</v>
      </c>
      <c r="Y959" s="6">
        <v>957</v>
      </c>
      <c r="Z959">
        <v>120</v>
      </c>
      <c r="AB959" s="6">
        <v>943</v>
      </c>
      <c r="AC959">
        <v>4</v>
      </c>
    </row>
    <row r="960" spans="1:29" x14ac:dyDescent="0.25">
      <c r="A960">
        <v>959</v>
      </c>
      <c r="B960" s="1">
        <v>45228</v>
      </c>
      <c r="C960" t="s">
        <v>987</v>
      </c>
      <c r="D960" t="s">
        <v>16</v>
      </c>
      <c r="E960">
        <v>42</v>
      </c>
      <c r="F960" t="s">
        <v>20</v>
      </c>
      <c r="G960">
        <v>2</v>
      </c>
      <c r="H960">
        <v>30</v>
      </c>
      <c r="I960">
        <v>60</v>
      </c>
      <c r="J960" t="str">
        <f t="shared" si="14"/>
        <v>36-45</v>
      </c>
      <c r="M960" s="6" t="s">
        <v>1007</v>
      </c>
      <c r="N960">
        <v>25</v>
      </c>
      <c r="V960" s="6">
        <v>943</v>
      </c>
      <c r="W960">
        <v>1200</v>
      </c>
      <c r="Y960" s="6">
        <v>958</v>
      </c>
      <c r="Z960">
        <v>50</v>
      </c>
      <c r="AB960" s="6">
        <v>944</v>
      </c>
      <c r="AC960">
        <v>2</v>
      </c>
    </row>
    <row r="961" spans="1:29" x14ac:dyDescent="0.25">
      <c r="A961">
        <v>960</v>
      </c>
      <c r="B961" s="1">
        <v>45146</v>
      </c>
      <c r="C961" t="s">
        <v>988</v>
      </c>
      <c r="D961" t="s">
        <v>12</v>
      </c>
      <c r="E961">
        <v>59</v>
      </c>
      <c r="F961" t="s">
        <v>17</v>
      </c>
      <c r="G961">
        <v>2</v>
      </c>
      <c r="H961">
        <v>30</v>
      </c>
      <c r="I961">
        <v>60</v>
      </c>
      <c r="J961" t="str">
        <f t="shared" si="14"/>
        <v>46-60</v>
      </c>
      <c r="M961" s="6" t="s">
        <v>983</v>
      </c>
      <c r="N961">
        <v>25</v>
      </c>
      <c r="V961" s="6">
        <v>944</v>
      </c>
      <c r="W961">
        <v>50</v>
      </c>
      <c r="Y961" s="6">
        <v>959</v>
      </c>
      <c r="Z961">
        <v>60</v>
      </c>
      <c r="AB961" s="6">
        <v>945</v>
      </c>
      <c r="AC961">
        <v>1</v>
      </c>
    </row>
    <row r="962" spans="1:29" x14ac:dyDescent="0.25">
      <c r="A962">
        <v>961</v>
      </c>
      <c r="B962" s="1">
        <v>45083</v>
      </c>
      <c r="C962" t="s">
        <v>989</v>
      </c>
      <c r="D962" t="s">
        <v>12</v>
      </c>
      <c r="E962">
        <v>53</v>
      </c>
      <c r="F962" t="s">
        <v>13</v>
      </c>
      <c r="G962">
        <v>4</v>
      </c>
      <c r="H962">
        <v>50</v>
      </c>
      <c r="I962">
        <v>200</v>
      </c>
      <c r="J962" t="str">
        <f t="shared" si="14"/>
        <v>46-60</v>
      </c>
      <c r="M962" s="6" t="s">
        <v>853</v>
      </c>
      <c r="N962">
        <v>25</v>
      </c>
      <c r="V962" s="6">
        <v>945</v>
      </c>
      <c r="W962">
        <v>25</v>
      </c>
      <c r="Y962" s="6">
        <v>960</v>
      </c>
      <c r="Z962">
        <v>60</v>
      </c>
      <c r="AB962" s="6">
        <v>946</v>
      </c>
      <c r="AC962">
        <v>4</v>
      </c>
    </row>
    <row r="963" spans="1:29" x14ac:dyDescent="0.25">
      <c r="A963">
        <v>962</v>
      </c>
      <c r="B963" s="1">
        <v>45218</v>
      </c>
      <c r="C963" t="s">
        <v>990</v>
      </c>
      <c r="D963" t="s">
        <v>12</v>
      </c>
      <c r="E963">
        <v>44</v>
      </c>
      <c r="F963" t="s">
        <v>17</v>
      </c>
      <c r="G963">
        <v>2</v>
      </c>
      <c r="H963">
        <v>30</v>
      </c>
      <c r="I963">
        <v>60</v>
      </c>
      <c r="J963" t="str">
        <f t="shared" ref="J963:J1001" si="15">IF(AND(E963&gt;=18,E963&lt;=25),"18-25",IF(AND(E963&gt;=26,E963&lt;=35),"26-35",IF(AND(E963&gt;=36,E963&lt;=45),"36-45",IF(AND(E963&gt;=46,E963&lt;=60),"46-60"))))</f>
        <v>36-45</v>
      </c>
      <c r="M963" s="6" t="s">
        <v>1017</v>
      </c>
      <c r="N963">
        <v>25</v>
      </c>
      <c r="V963" s="6">
        <v>946</v>
      </c>
      <c r="W963">
        <v>2000</v>
      </c>
      <c r="Y963" s="6">
        <v>961</v>
      </c>
      <c r="Z963">
        <v>200</v>
      </c>
      <c r="AB963" s="6">
        <v>947</v>
      </c>
      <c r="AC963">
        <v>1</v>
      </c>
    </row>
    <row r="964" spans="1:29" x14ac:dyDescent="0.25">
      <c r="A964">
        <v>963</v>
      </c>
      <c r="B964" s="1">
        <v>45244</v>
      </c>
      <c r="C964" t="s">
        <v>991</v>
      </c>
      <c r="D964" t="s">
        <v>16</v>
      </c>
      <c r="E964">
        <v>55</v>
      </c>
      <c r="F964" t="s">
        <v>13</v>
      </c>
      <c r="G964">
        <v>1</v>
      </c>
      <c r="H964">
        <v>50</v>
      </c>
      <c r="I964">
        <v>50</v>
      </c>
      <c r="J964" t="str">
        <f t="shared" si="15"/>
        <v>46-60</v>
      </c>
      <c r="M964" s="6" t="s">
        <v>905</v>
      </c>
      <c r="N964">
        <v>25</v>
      </c>
      <c r="V964" s="6">
        <v>947</v>
      </c>
      <c r="W964">
        <v>300</v>
      </c>
      <c r="Y964" s="6">
        <v>962</v>
      </c>
      <c r="Z964">
        <v>60</v>
      </c>
      <c r="AB964" s="6">
        <v>948</v>
      </c>
      <c r="AC964">
        <v>3</v>
      </c>
    </row>
    <row r="965" spans="1:29" x14ac:dyDescent="0.25">
      <c r="A965">
        <v>964</v>
      </c>
      <c r="B965" s="1">
        <v>44957</v>
      </c>
      <c r="C965" t="s">
        <v>992</v>
      </c>
      <c r="D965" t="s">
        <v>12</v>
      </c>
      <c r="E965">
        <v>24</v>
      </c>
      <c r="F965" t="s">
        <v>17</v>
      </c>
      <c r="G965">
        <v>3</v>
      </c>
      <c r="H965">
        <v>300</v>
      </c>
      <c r="I965">
        <v>900</v>
      </c>
      <c r="J965" t="str">
        <f t="shared" si="15"/>
        <v>18-25</v>
      </c>
      <c r="M965" s="6" t="s">
        <v>973</v>
      </c>
      <c r="N965">
        <v>25</v>
      </c>
      <c r="V965" s="6">
        <v>948</v>
      </c>
      <c r="W965">
        <v>75</v>
      </c>
      <c r="Y965" s="6">
        <v>963</v>
      </c>
      <c r="Z965">
        <v>50</v>
      </c>
      <c r="AB965" s="6">
        <v>949</v>
      </c>
      <c r="AC965">
        <v>2</v>
      </c>
    </row>
    <row r="966" spans="1:29" x14ac:dyDescent="0.25">
      <c r="A966">
        <v>965</v>
      </c>
      <c r="B966" s="1">
        <v>45239</v>
      </c>
      <c r="C966" t="s">
        <v>993</v>
      </c>
      <c r="D966" t="s">
        <v>12</v>
      </c>
      <c r="E966">
        <v>22</v>
      </c>
      <c r="F966" t="s">
        <v>17</v>
      </c>
      <c r="G966">
        <v>4</v>
      </c>
      <c r="H966">
        <v>50</v>
      </c>
      <c r="I966">
        <v>200</v>
      </c>
      <c r="J966" t="str">
        <f t="shared" si="15"/>
        <v>18-25</v>
      </c>
      <c r="M966" s="6" t="s">
        <v>995</v>
      </c>
      <c r="N966">
        <v>25</v>
      </c>
      <c r="V966" s="6">
        <v>949</v>
      </c>
      <c r="W966">
        <v>50</v>
      </c>
      <c r="Y966" s="6">
        <v>964</v>
      </c>
      <c r="Z966">
        <v>900</v>
      </c>
      <c r="AB966" s="6">
        <v>950</v>
      </c>
      <c r="AC966">
        <v>3</v>
      </c>
    </row>
    <row r="967" spans="1:29" x14ac:dyDescent="0.25">
      <c r="A967">
        <v>966</v>
      </c>
      <c r="B967" s="1">
        <v>44977</v>
      </c>
      <c r="C967" t="s">
        <v>994</v>
      </c>
      <c r="D967" t="s">
        <v>12</v>
      </c>
      <c r="E967">
        <v>60</v>
      </c>
      <c r="F967" t="s">
        <v>20</v>
      </c>
      <c r="G967">
        <v>2</v>
      </c>
      <c r="H967">
        <v>500</v>
      </c>
      <c r="I967">
        <v>1000</v>
      </c>
      <c r="J967" t="str">
        <f t="shared" si="15"/>
        <v>46-60</v>
      </c>
      <c r="M967" s="6" t="s">
        <v>815</v>
      </c>
      <c r="N967">
        <v>25</v>
      </c>
      <c r="V967" s="6">
        <v>950</v>
      </c>
      <c r="W967">
        <v>900</v>
      </c>
      <c r="Y967" s="6">
        <v>965</v>
      </c>
      <c r="Z967">
        <v>200</v>
      </c>
      <c r="AB967" s="6">
        <v>951</v>
      </c>
      <c r="AC967">
        <v>2</v>
      </c>
    </row>
    <row r="968" spans="1:29" x14ac:dyDescent="0.25">
      <c r="A968">
        <v>967</v>
      </c>
      <c r="B968" s="1">
        <v>45033</v>
      </c>
      <c r="C968" t="s">
        <v>995</v>
      </c>
      <c r="D968" t="s">
        <v>12</v>
      </c>
      <c r="E968">
        <v>62</v>
      </c>
      <c r="F968" t="s">
        <v>13</v>
      </c>
      <c r="G968">
        <v>1</v>
      </c>
      <c r="H968">
        <v>25</v>
      </c>
      <c r="I968">
        <v>25</v>
      </c>
      <c r="J968" t="b">
        <f t="shared" si="15"/>
        <v>0</v>
      </c>
      <c r="M968" s="6" t="s">
        <v>496</v>
      </c>
      <c r="N968">
        <v>25</v>
      </c>
      <c r="V968" s="6">
        <v>951</v>
      </c>
      <c r="W968">
        <v>100</v>
      </c>
      <c r="Y968" s="6">
        <v>966</v>
      </c>
      <c r="Z968">
        <v>1000</v>
      </c>
      <c r="AB968" s="6">
        <v>952</v>
      </c>
      <c r="AC968">
        <v>1</v>
      </c>
    </row>
    <row r="969" spans="1:29" x14ac:dyDescent="0.25">
      <c r="A969">
        <v>968</v>
      </c>
      <c r="B969" s="1">
        <v>45247</v>
      </c>
      <c r="C969" t="s">
        <v>996</v>
      </c>
      <c r="D969" t="s">
        <v>16</v>
      </c>
      <c r="E969">
        <v>48</v>
      </c>
      <c r="F969" t="s">
        <v>17</v>
      </c>
      <c r="G969">
        <v>3</v>
      </c>
      <c r="H969">
        <v>300</v>
      </c>
      <c r="I969">
        <v>900</v>
      </c>
      <c r="J969" t="str">
        <f t="shared" si="15"/>
        <v>46-60</v>
      </c>
      <c r="M969" s="6" t="s">
        <v>407</v>
      </c>
      <c r="N969">
        <v>25</v>
      </c>
      <c r="V969" s="6">
        <v>952</v>
      </c>
      <c r="W969">
        <v>25</v>
      </c>
      <c r="Y969" s="6">
        <v>967</v>
      </c>
      <c r="Z969">
        <v>25</v>
      </c>
      <c r="AB969" s="6">
        <v>953</v>
      </c>
      <c r="AC969">
        <v>3</v>
      </c>
    </row>
    <row r="970" spans="1:29" x14ac:dyDescent="0.25">
      <c r="A970">
        <v>969</v>
      </c>
      <c r="B970" s="1">
        <v>45035</v>
      </c>
      <c r="C970" t="s">
        <v>997</v>
      </c>
      <c r="D970" t="s">
        <v>16</v>
      </c>
      <c r="E970">
        <v>40</v>
      </c>
      <c r="F970" t="s">
        <v>17</v>
      </c>
      <c r="G970">
        <v>3</v>
      </c>
      <c r="H970">
        <v>300</v>
      </c>
      <c r="I970">
        <v>900</v>
      </c>
      <c r="J970" t="str">
        <f t="shared" si="15"/>
        <v>36-45</v>
      </c>
      <c r="M970" s="6" t="s">
        <v>572</v>
      </c>
      <c r="N970">
        <v>25</v>
      </c>
      <c r="V970" s="6">
        <v>953</v>
      </c>
      <c r="W970">
        <v>90</v>
      </c>
      <c r="Y970" s="6">
        <v>968</v>
      </c>
      <c r="Z970">
        <v>900</v>
      </c>
      <c r="AB970" s="6">
        <v>954</v>
      </c>
      <c r="AC970">
        <v>3</v>
      </c>
    </row>
    <row r="971" spans="1:29" x14ac:dyDescent="0.25">
      <c r="A971">
        <v>970</v>
      </c>
      <c r="B971" s="1">
        <v>45062</v>
      </c>
      <c r="C971" t="s">
        <v>998</v>
      </c>
      <c r="D971" t="s">
        <v>12</v>
      </c>
      <c r="E971">
        <v>59</v>
      </c>
      <c r="F971" t="s">
        <v>20</v>
      </c>
      <c r="G971">
        <v>4</v>
      </c>
      <c r="H971">
        <v>500</v>
      </c>
      <c r="I971">
        <v>2000</v>
      </c>
      <c r="J971" t="str">
        <f t="shared" si="15"/>
        <v>46-60</v>
      </c>
      <c r="M971" s="6" t="s">
        <v>482</v>
      </c>
      <c r="N971">
        <v>25</v>
      </c>
      <c r="V971" s="6">
        <v>954</v>
      </c>
      <c r="W971">
        <v>900</v>
      </c>
      <c r="Y971" s="6">
        <v>969</v>
      </c>
      <c r="Z971">
        <v>900</v>
      </c>
      <c r="AB971" s="6">
        <v>955</v>
      </c>
      <c r="AC971">
        <v>1</v>
      </c>
    </row>
    <row r="972" spans="1:29" x14ac:dyDescent="0.25">
      <c r="A972">
        <v>971</v>
      </c>
      <c r="B972" s="1">
        <v>45265</v>
      </c>
      <c r="C972" t="s">
        <v>999</v>
      </c>
      <c r="D972" t="s">
        <v>16</v>
      </c>
      <c r="E972">
        <v>27</v>
      </c>
      <c r="F972" t="s">
        <v>20</v>
      </c>
      <c r="G972">
        <v>4</v>
      </c>
      <c r="H972">
        <v>50</v>
      </c>
      <c r="I972">
        <v>200</v>
      </c>
      <c r="J972" t="str">
        <f t="shared" si="15"/>
        <v>26-35</v>
      </c>
      <c r="M972" s="6" t="s">
        <v>390</v>
      </c>
      <c r="N972">
        <v>25</v>
      </c>
      <c r="V972" s="6">
        <v>955</v>
      </c>
      <c r="W972">
        <v>25</v>
      </c>
      <c r="Y972" s="6">
        <v>970</v>
      </c>
      <c r="Z972">
        <v>2000</v>
      </c>
      <c r="AB972" s="6">
        <v>956</v>
      </c>
      <c r="AC972">
        <v>3</v>
      </c>
    </row>
    <row r="973" spans="1:29" x14ac:dyDescent="0.25">
      <c r="A973">
        <v>972</v>
      </c>
      <c r="B973" s="1">
        <v>44968</v>
      </c>
      <c r="C973" t="s">
        <v>1000</v>
      </c>
      <c r="D973" t="s">
        <v>12</v>
      </c>
      <c r="E973">
        <v>49</v>
      </c>
      <c r="F973" t="s">
        <v>13</v>
      </c>
      <c r="G973">
        <v>4</v>
      </c>
      <c r="H973">
        <v>25</v>
      </c>
      <c r="I973">
        <v>100</v>
      </c>
      <c r="J973" t="str">
        <f t="shared" si="15"/>
        <v>46-60</v>
      </c>
      <c r="M973" s="6" t="s">
        <v>375</v>
      </c>
      <c r="N973">
        <v>25</v>
      </c>
      <c r="V973" s="6">
        <v>956</v>
      </c>
      <c r="W973">
        <v>1500</v>
      </c>
      <c r="Y973" s="6">
        <v>971</v>
      </c>
      <c r="Z973">
        <v>200</v>
      </c>
      <c r="AB973" s="6">
        <v>957</v>
      </c>
      <c r="AC973">
        <v>4</v>
      </c>
    </row>
    <row r="974" spans="1:29" x14ac:dyDescent="0.25">
      <c r="A974">
        <v>973</v>
      </c>
      <c r="B974" s="1">
        <v>45007</v>
      </c>
      <c r="C974" t="s">
        <v>1001</v>
      </c>
      <c r="D974" t="s">
        <v>12</v>
      </c>
      <c r="E974">
        <v>60</v>
      </c>
      <c r="F974" t="s">
        <v>17</v>
      </c>
      <c r="G974">
        <v>1</v>
      </c>
      <c r="H974">
        <v>50</v>
      </c>
      <c r="I974">
        <v>50</v>
      </c>
      <c r="J974" t="str">
        <f t="shared" si="15"/>
        <v>46-60</v>
      </c>
      <c r="M974" s="6" t="s">
        <v>455</v>
      </c>
      <c r="N974">
        <v>25</v>
      </c>
      <c r="V974" s="6">
        <v>957</v>
      </c>
      <c r="W974">
        <v>120</v>
      </c>
      <c r="Y974" s="6">
        <v>972</v>
      </c>
      <c r="Z974">
        <v>100</v>
      </c>
      <c r="AB974" s="6">
        <v>958</v>
      </c>
      <c r="AC974">
        <v>2</v>
      </c>
    </row>
    <row r="975" spans="1:29" x14ac:dyDescent="0.25">
      <c r="A975">
        <v>974</v>
      </c>
      <c r="B975" s="1">
        <v>45049</v>
      </c>
      <c r="C975" t="s">
        <v>1002</v>
      </c>
      <c r="D975" t="s">
        <v>12</v>
      </c>
      <c r="E975">
        <v>47</v>
      </c>
      <c r="F975" t="s">
        <v>13</v>
      </c>
      <c r="G975">
        <v>1</v>
      </c>
      <c r="H975">
        <v>30</v>
      </c>
      <c r="I975">
        <v>30</v>
      </c>
      <c r="J975" t="str">
        <f t="shared" si="15"/>
        <v>46-60</v>
      </c>
      <c r="M975" s="6" t="s">
        <v>399</v>
      </c>
      <c r="N975">
        <v>25</v>
      </c>
      <c r="V975" s="6">
        <v>958</v>
      </c>
      <c r="W975">
        <v>50</v>
      </c>
      <c r="Y975" s="6">
        <v>973</v>
      </c>
      <c r="Z975">
        <v>50</v>
      </c>
      <c r="AB975" s="6">
        <v>959</v>
      </c>
      <c r="AC975">
        <v>2</v>
      </c>
    </row>
    <row r="976" spans="1:29" x14ac:dyDescent="0.25">
      <c r="A976">
        <v>975</v>
      </c>
      <c r="B976" s="1">
        <v>45015</v>
      </c>
      <c r="C976" t="s">
        <v>1003</v>
      </c>
      <c r="D976" t="s">
        <v>16</v>
      </c>
      <c r="E976">
        <v>56</v>
      </c>
      <c r="F976" t="s">
        <v>17</v>
      </c>
      <c r="G976">
        <v>4</v>
      </c>
      <c r="H976">
        <v>50</v>
      </c>
      <c r="I976">
        <v>200</v>
      </c>
      <c r="J976" t="str">
        <f t="shared" si="15"/>
        <v>46-60</v>
      </c>
      <c r="M976" s="6" t="s">
        <v>514</v>
      </c>
      <c r="N976">
        <v>25</v>
      </c>
      <c r="V976" s="6">
        <v>959</v>
      </c>
      <c r="W976">
        <v>60</v>
      </c>
      <c r="Y976" s="6">
        <v>974</v>
      </c>
      <c r="Z976">
        <v>30</v>
      </c>
      <c r="AB976" s="6">
        <v>960</v>
      </c>
      <c r="AC976">
        <v>2</v>
      </c>
    </row>
    <row r="977" spans="1:29" x14ac:dyDescent="0.25">
      <c r="A977">
        <v>976</v>
      </c>
      <c r="B977" s="1">
        <v>45209</v>
      </c>
      <c r="C977" t="s">
        <v>1004</v>
      </c>
      <c r="D977" t="s">
        <v>16</v>
      </c>
      <c r="E977">
        <v>48</v>
      </c>
      <c r="F977" t="s">
        <v>13</v>
      </c>
      <c r="G977">
        <v>2</v>
      </c>
      <c r="H977">
        <v>300</v>
      </c>
      <c r="I977">
        <v>600</v>
      </c>
      <c r="J977" t="str">
        <f t="shared" si="15"/>
        <v>46-60</v>
      </c>
      <c r="M977" s="6" t="s">
        <v>586</v>
      </c>
      <c r="N977">
        <v>25</v>
      </c>
      <c r="V977" s="6">
        <v>960</v>
      </c>
      <c r="W977">
        <v>60</v>
      </c>
      <c r="Y977" s="6">
        <v>975</v>
      </c>
      <c r="Z977">
        <v>200</v>
      </c>
      <c r="AB977" s="6">
        <v>961</v>
      </c>
      <c r="AC977">
        <v>4</v>
      </c>
    </row>
    <row r="978" spans="1:29" x14ac:dyDescent="0.25">
      <c r="A978">
        <v>977</v>
      </c>
      <c r="B978" s="1">
        <v>44965</v>
      </c>
      <c r="C978" t="s">
        <v>1005</v>
      </c>
      <c r="D978" t="s">
        <v>16</v>
      </c>
      <c r="E978">
        <v>35</v>
      </c>
      <c r="F978" t="s">
        <v>20</v>
      </c>
      <c r="G978">
        <v>3</v>
      </c>
      <c r="H978">
        <v>25</v>
      </c>
      <c r="I978">
        <v>75</v>
      </c>
      <c r="J978" t="str">
        <f t="shared" si="15"/>
        <v>26-35</v>
      </c>
      <c r="M978" s="6" t="s">
        <v>613</v>
      </c>
      <c r="N978">
        <v>25</v>
      </c>
      <c r="V978" s="6">
        <v>961</v>
      </c>
      <c r="W978">
        <v>200</v>
      </c>
      <c r="Y978" s="6">
        <v>976</v>
      </c>
      <c r="Z978">
        <v>600</v>
      </c>
      <c r="AB978" s="6">
        <v>962</v>
      </c>
      <c r="AC978">
        <v>2</v>
      </c>
    </row>
    <row r="979" spans="1:29" x14ac:dyDescent="0.25">
      <c r="A979">
        <v>978</v>
      </c>
      <c r="B979" s="1">
        <v>45007</v>
      </c>
      <c r="C979" t="s">
        <v>1006</v>
      </c>
      <c r="D979" t="s">
        <v>16</v>
      </c>
      <c r="E979">
        <v>53</v>
      </c>
      <c r="F979" t="s">
        <v>17</v>
      </c>
      <c r="G979">
        <v>3</v>
      </c>
      <c r="H979">
        <v>50</v>
      </c>
      <c r="I979">
        <v>150</v>
      </c>
      <c r="J979" t="str">
        <f t="shared" si="15"/>
        <v>46-60</v>
      </c>
      <c r="M979" s="6" t="s">
        <v>425</v>
      </c>
      <c r="N979">
        <v>25</v>
      </c>
      <c r="V979" s="6">
        <v>962</v>
      </c>
      <c r="W979">
        <v>60</v>
      </c>
      <c r="Y979" s="6">
        <v>977</v>
      </c>
      <c r="Z979">
        <v>75</v>
      </c>
      <c r="AB979" s="6">
        <v>963</v>
      </c>
      <c r="AC979">
        <v>1</v>
      </c>
    </row>
    <row r="980" spans="1:29" x14ac:dyDescent="0.25">
      <c r="A980">
        <v>979</v>
      </c>
      <c r="B980" s="1">
        <v>44928</v>
      </c>
      <c r="C980" t="s">
        <v>1007</v>
      </c>
      <c r="D980" t="s">
        <v>16</v>
      </c>
      <c r="E980">
        <v>19</v>
      </c>
      <c r="F980" t="s">
        <v>13</v>
      </c>
      <c r="G980">
        <v>1</v>
      </c>
      <c r="H980">
        <v>25</v>
      </c>
      <c r="I980">
        <v>25</v>
      </c>
      <c r="J980" t="str">
        <f t="shared" si="15"/>
        <v>18-25</v>
      </c>
      <c r="M980" s="6" t="s">
        <v>540</v>
      </c>
      <c r="N980">
        <v>25</v>
      </c>
      <c r="V980" s="6">
        <v>963</v>
      </c>
      <c r="W980">
        <v>50</v>
      </c>
      <c r="Y980" s="6">
        <v>978</v>
      </c>
      <c r="Z980">
        <v>150</v>
      </c>
      <c r="AB980" s="6">
        <v>964</v>
      </c>
      <c r="AC980">
        <v>3</v>
      </c>
    </row>
    <row r="981" spans="1:29" x14ac:dyDescent="0.25">
      <c r="A981">
        <v>980</v>
      </c>
      <c r="B981" s="1">
        <v>45136</v>
      </c>
      <c r="C981" t="s">
        <v>1008</v>
      </c>
      <c r="D981" t="s">
        <v>16</v>
      </c>
      <c r="E981">
        <v>31</v>
      </c>
      <c r="F981" t="s">
        <v>20</v>
      </c>
      <c r="G981">
        <v>3</v>
      </c>
      <c r="H981">
        <v>25</v>
      </c>
      <c r="I981">
        <v>75</v>
      </c>
      <c r="J981" t="str">
        <f t="shared" si="15"/>
        <v>26-35</v>
      </c>
      <c r="M981" s="6" t="s">
        <v>391</v>
      </c>
      <c r="N981">
        <v>25</v>
      </c>
      <c r="V981" s="6">
        <v>964</v>
      </c>
      <c r="W981">
        <v>900</v>
      </c>
      <c r="Y981" s="6">
        <v>979</v>
      </c>
      <c r="Z981">
        <v>25</v>
      </c>
      <c r="AB981" s="6">
        <v>965</v>
      </c>
      <c r="AC981">
        <v>4</v>
      </c>
    </row>
    <row r="982" spans="1:29" x14ac:dyDescent="0.25">
      <c r="A982">
        <v>981</v>
      </c>
      <c r="B982" s="1">
        <v>45157</v>
      </c>
      <c r="C982" t="s">
        <v>1009</v>
      </c>
      <c r="D982" t="s">
        <v>16</v>
      </c>
      <c r="E982">
        <v>30</v>
      </c>
      <c r="F982" t="s">
        <v>20</v>
      </c>
      <c r="G982">
        <v>2</v>
      </c>
      <c r="H982">
        <v>30</v>
      </c>
      <c r="I982">
        <v>60</v>
      </c>
      <c r="J982" t="str">
        <f t="shared" si="15"/>
        <v>26-35</v>
      </c>
      <c r="M982" s="6" t="s">
        <v>416</v>
      </c>
      <c r="N982">
        <v>25</v>
      </c>
      <c r="V982" s="6">
        <v>965</v>
      </c>
      <c r="W982">
        <v>200</v>
      </c>
      <c r="Y982" s="6">
        <v>980</v>
      </c>
      <c r="Z982">
        <v>75</v>
      </c>
      <c r="AB982" s="6">
        <v>966</v>
      </c>
      <c r="AC982">
        <v>2</v>
      </c>
    </row>
    <row r="983" spans="1:29" x14ac:dyDescent="0.25">
      <c r="A983">
        <v>982</v>
      </c>
      <c r="B983" s="1">
        <v>45279</v>
      </c>
      <c r="C983" t="s">
        <v>1010</v>
      </c>
      <c r="D983" t="s">
        <v>16</v>
      </c>
      <c r="E983">
        <v>46</v>
      </c>
      <c r="F983" t="s">
        <v>13</v>
      </c>
      <c r="G983">
        <v>3</v>
      </c>
      <c r="H983">
        <v>30</v>
      </c>
      <c r="I983">
        <v>90</v>
      </c>
      <c r="J983" t="str">
        <f t="shared" si="15"/>
        <v>46-60</v>
      </c>
      <c r="M983" s="6" t="s">
        <v>685</v>
      </c>
      <c r="N983">
        <v>25</v>
      </c>
      <c r="V983" s="6">
        <v>966</v>
      </c>
      <c r="W983">
        <v>1000</v>
      </c>
      <c r="Y983" s="6">
        <v>981</v>
      </c>
      <c r="Z983">
        <v>60</v>
      </c>
      <c r="AB983" s="6">
        <v>967</v>
      </c>
      <c r="AC983">
        <v>1</v>
      </c>
    </row>
    <row r="984" spans="1:29" x14ac:dyDescent="0.25">
      <c r="A984">
        <v>983</v>
      </c>
      <c r="B984" s="1">
        <v>45231</v>
      </c>
      <c r="C984" t="s">
        <v>1011</v>
      </c>
      <c r="D984" t="s">
        <v>16</v>
      </c>
      <c r="E984">
        <v>29</v>
      </c>
      <c r="F984" t="s">
        <v>17</v>
      </c>
      <c r="G984">
        <v>1</v>
      </c>
      <c r="H984">
        <v>300</v>
      </c>
      <c r="I984">
        <v>300</v>
      </c>
      <c r="J984" t="str">
        <f t="shared" si="15"/>
        <v>26-35</v>
      </c>
      <c r="M984" s="6" t="s">
        <v>451</v>
      </c>
      <c r="N984">
        <v>25</v>
      </c>
      <c r="V984" s="6">
        <v>967</v>
      </c>
      <c r="W984">
        <v>25</v>
      </c>
      <c r="Y984" s="6">
        <v>982</v>
      </c>
      <c r="Z984">
        <v>90</v>
      </c>
      <c r="AB984" s="6">
        <v>968</v>
      </c>
      <c r="AC984">
        <v>3</v>
      </c>
    </row>
    <row r="985" spans="1:29" x14ac:dyDescent="0.25">
      <c r="A985">
        <v>984</v>
      </c>
      <c r="B985" s="1">
        <v>45167</v>
      </c>
      <c r="C985" t="s">
        <v>1012</v>
      </c>
      <c r="D985" t="s">
        <v>12</v>
      </c>
      <c r="E985">
        <v>56</v>
      </c>
      <c r="F985" t="s">
        <v>17</v>
      </c>
      <c r="G985">
        <v>1</v>
      </c>
      <c r="H985">
        <v>500</v>
      </c>
      <c r="I985">
        <v>500</v>
      </c>
      <c r="J985" t="str">
        <f t="shared" si="15"/>
        <v>46-60</v>
      </c>
      <c r="M985" s="6" t="s">
        <v>686</v>
      </c>
      <c r="N985">
        <v>25</v>
      </c>
      <c r="V985" s="6">
        <v>968</v>
      </c>
      <c r="W985">
        <v>900</v>
      </c>
      <c r="Y985" s="6">
        <v>983</v>
      </c>
      <c r="Z985">
        <v>300</v>
      </c>
      <c r="AB985" s="6">
        <v>969</v>
      </c>
      <c r="AC985">
        <v>3</v>
      </c>
    </row>
    <row r="986" spans="1:29" x14ac:dyDescent="0.25">
      <c r="A986">
        <v>985</v>
      </c>
      <c r="B986" s="1">
        <v>45076</v>
      </c>
      <c r="C986" t="s">
        <v>1013</v>
      </c>
      <c r="D986" t="s">
        <v>16</v>
      </c>
      <c r="E986">
        <v>19</v>
      </c>
      <c r="F986" t="s">
        <v>20</v>
      </c>
      <c r="G986">
        <v>2</v>
      </c>
      <c r="H986">
        <v>25</v>
      </c>
      <c r="I986">
        <v>50</v>
      </c>
      <c r="J986" t="str">
        <f t="shared" si="15"/>
        <v>18-25</v>
      </c>
      <c r="M986" s="6" t="s">
        <v>213</v>
      </c>
      <c r="N986">
        <v>25</v>
      </c>
      <c r="V986" s="6">
        <v>969</v>
      </c>
      <c r="W986">
        <v>900</v>
      </c>
      <c r="Y986" s="6">
        <v>984</v>
      </c>
      <c r="Z986">
        <v>500</v>
      </c>
      <c r="AB986" s="6">
        <v>970</v>
      </c>
      <c r="AC986">
        <v>4</v>
      </c>
    </row>
    <row r="987" spans="1:29" x14ac:dyDescent="0.25">
      <c r="A987">
        <v>986</v>
      </c>
      <c r="B987" s="1">
        <v>44943</v>
      </c>
      <c r="C987" t="s">
        <v>1014</v>
      </c>
      <c r="D987" t="s">
        <v>16</v>
      </c>
      <c r="E987">
        <v>49</v>
      </c>
      <c r="F987" t="s">
        <v>17</v>
      </c>
      <c r="G987">
        <v>2</v>
      </c>
      <c r="H987">
        <v>500</v>
      </c>
      <c r="I987">
        <v>1000</v>
      </c>
      <c r="J987" t="str">
        <f t="shared" si="15"/>
        <v>46-60</v>
      </c>
      <c r="M987" s="6" t="s">
        <v>258</v>
      </c>
      <c r="N987">
        <v>25</v>
      </c>
      <c r="V987" s="6">
        <v>970</v>
      </c>
      <c r="W987">
        <v>2000</v>
      </c>
      <c r="Y987" s="6">
        <v>985</v>
      </c>
      <c r="Z987">
        <v>50</v>
      </c>
      <c r="AB987" s="6">
        <v>971</v>
      </c>
      <c r="AC987">
        <v>4</v>
      </c>
    </row>
    <row r="988" spans="1:29" x14ac:dyDescent="0.25">
      <c r="A988">
        <v>987</v>
      </c>
      <c r="B988" s="1">
        <v>45045</v>
      </c>
      <c r="C988" t="s">
        <v>1015</v>
      </c>
      <c r="D988" t="s">
        <v>16</v>
      </c>
      <c r="E988">
        <v>30</v>
      </c>
      <c r="F988" t="s">
        <v>17</v>
      </c>
      <c r="G988">
        <v>3</v>
      </c>
      <c r="H988">
        <v>300</v>
      </c>
      <c r="I988">
        <v>900</v>
      </c>
      <c r="J988" t="str">
        <f t="shared" si="15"/>
        <v>26-35</v>
      </c>
      <c r="M988" s="6" t="s">
        <v>229</v>
      </c>
      <c r="N988">
        <v>25</v>
      </c>
      <c r="V988" s="6">
        <v>971</v>
      </c>
      <c r="W988">
        <v>200</v>
      </c>
      <c r="Y988" s="6">
        <v>986</v>
      </c>
      <c r="Z988">
        <v>1000</v>
      </c>
      <c r="AB988" s="6">
        <v>972</v>
      </c>
      <c r="AC988">
        <v>4</v>
      </c>
    </row>
    <row r="989" spans="1:29" x14ac:dyDescent="0.25">
      <c r="A989">
        <v>988</v>
      </c>
      <c r="B989" s="1">
        <v>45074</v>
      </c>
      <c r="C989" t="s">
        <v>1016</v>
      </c>
      <c r="D989" t="s">
        <v>16</v>
      </c>
      <c r="E989">
        <v>63</v>
      </c>
      <c r="F989" t="s">
        <v>17</v>
      </c>
      <c r="G989">
        <v>3</v>
      </c>
      <c r="H989">
        <v>25</v>
      </c>
      <c r="I989">
        <v>75</v>
      </c>
      <c r="J989" t="b">
        <f t="shared" si="15"/>
        <v>0</v>
      </c>
      <c r="M989" s="6" t="s">
        <v>346</v>
      </c>
      <c r="N989">
        <v>25</v>
      </c>
      <c r="V989" s="6">
        <v>972</v>
      </c>
      <c r="W989">
        <v>100</v>
      </c>
      <c r="Y989" s="6">
        <v>987</v>
      </c>
      <c r="Z989">
        <v>900</v>
      </c>
      <c r="AB989" s="6">
        <v>973</v>
      </c>
      <c r="AC989">
        <v>1</v>
      </c>
    </row>
    <row r="990" spans="1:29" x14ac:dyDescent="0.25">
      <c r="A990">
        <v>989</v>
      </c>
      <c r="B990" s="1">
        <v>45288</v>
      </c>
      <c r="C990" t="s">
        <v>1017</v>
      </c>
      <c r="D990" t="s">
        <v>16</v>
      </c>
      <c r="E990">
        <v>44</v>
      </c>
      <c r="F990" t="s">
        <v>20</v>
      </c>
      <c r="G990">
        <v>1</v>
      </c>
      <c r="H990">
        <v>25</v>
      </c>
      <c r="I990">
        <v>25</v>
      </c>
      <c r="J990" t="str">
        <f t="shared" si="15"/>
        <v>36-45</v>
      </c>
      <c r="M990" s="6" t="s">
        <v>264</v>
      </c>
      <c r="N990">
        <v>25</v>
      </c>
      <c r="V990" s="6">
        <v>973</v>
      </c>
      <c r="W990">
        <v>50</v>
      </c>
      <c r="Y990" s="6">
        <v>988</v>
      </c>
      <c r="Z990">
        <v>75</v>
      </c>
      <c r="AB990" s="6">
        <v>974</v>
      </c>
      <c r="AC990">
        <v>1</v>
      </c>
    </row>
    <row r="991" spans="1:29" x14ac:dyDescent="0.25">
      <c r="A991">
        <v>990</v>
      </c>
      <c r="B991" s="1">
        <v>45071</v>
      </c>
      <c r="C991" t="s">
        <v>1018</v>
      </c>
      <c r="D991" t="s">
        <v>16</v>
      </c>
      <c r="E991">
        <v>58</v>
      </c>
      <c r="F991" t="s">
        <v>13</v>
      </c>
      <c r="G991">
        <v>2</v>
      </c>
      <c r="H991">
        <v>500</v>
      </c>
      <c r="I991">
        <v>1000</v>
      </c>
      <c r="J991" t="str">
        <f t="shared" si="15"/>
        <v>46-60</v>
      </c>
      <c r="M991" s="6" t="s">
        <v>234</v>
      </c>
      <c r="N991">
        <v>25</v>
      </c>
      <c r="V991" s="6">
        <v>974</v>
      </c>
      <c r="W991">
        <v>30</v>
      </c>
      <c r="Y991" s="6">
        <v>989</v>
      </c>
      <c r="Z991">
        <v>25</v>
      </c>
      <c r="AB991" s="6">
        <v>975</v>
      </c>
      <c r="AC991">
        <v>4</v>
      </c>
    </row>
    <row r="992" spans="1:29" x14ac:dyDescent="0.25">
      <c r="A992">
        <v>991</v>
      </c>
      <c r="B992" s="1">
        <v>45286</v>
      </c>
      <c r="C992" t="s">
        <v>1019</v>
      </c>
      <c r="D992" t="s">
        <v>16</v>
      </c>
      <c r="E992">
        <v>34</v>
      </c>
      <c r="F992" t="s">
        <v>17</v>
      </c>
      <c r="G992">
        <v>2</v>
      </c>
      <c r="H992">
        <v>50</v>
      </c>
      <c r="I992">
        <v>100</v>
      </c>
      <c r="J992" t="str">
        <f t="shared" si="15"/>
        <v>26-35</v>
      </c>
      <c r="M992" s="6" t="s">
        <v>131</v>
      </c>
      <c r="N992">
        <v>25</v>
      </c>
      <c r="V992" s="6">
        <v>975</v>
      </c>
      <c r="W992">
        <v>200</v>
      </c>
      <c r="Y992" s="6">
        <v>990</v>
      </c>
      <c r="Z992">
        <v>1000</v>
      </c>
      <c r="AB992" s="6">
        <v>976</v>
      </c>
      <c r="AC992">
        <v>2</v>
      </c>
    </row>
    <row r="993" spans="1:29" x14ac:dyDescent="0.25">
      <c r="A993">
        <v>992</v>
      </c>
      <c r="B993" s="1">
        <v>45159</v>
      </c>
      <c r="C993" t="s">
        <v>1020</v>
      </c>
      <c r="D993" t="s">
        <v>16</v>
      </c>
      <c r="E993">
        <v>57</v>
      </c>
      <c r="F993" t="s">
        <v>20</v>
      </c>
      <c r="G993">
        <v>2</v>
      </c>
      <c r="H993">
        <v>30</v>
      </c>
      <c r="I993">
        <v>60</v>
      </c>
      <c r="J993" t="str">
        <f t="shared" si="15"/>
        <v>46-60</v>
      </c>
      <c r="M993" s="6" t="s">
        <v>337</v>
      </c>
      <c r="N993">
        <v>25</v>
      </c>
      <c r="V993" s="6">
        <v>976</v>
      </c>
      <c r="W993">
        <v>600</v>
      </c>
      <c r="Y993" s="6">
        <v>991</v>
      </c>
      <c r="Z993">
        <v>100</v>
      </c>
      <c r="AB993" s="6">
        <v>977</v>
      </c>
      <c r="AC993">
        <v>3</v>
      </c>
    </row>
    <row r="994" spans="1:29" x14ac:dyDescent="0.25">
      <c r="A994">
        <v>993</v>
      </c>
      <c r="B994" s="1">
        <v>44963</v>
      </c>
      <c r="C994" t="s">
        <v>1021</v>
      </c>
      <c r="D994" t="s">
        <v>16</v>
      </c>
      <c r="E994">
        <v>48</v>
      </c>
      <c r="F994" t="s">
        <v>20</v>
      </c>
      <c r="G994">
        <v>3</v>
      </c>
      <c r="H994">
        <v>50</v>
      </c>
      <c r="I994">
        <v>150</v>
      </c>
      <c r="J994" t="str">
        <f t="shared" si="15"/>
        <v>46-60</v>
      </c>
      <c r="M994" s="6" t="s">
        <v>72</v>
      </c>
      <c r="N994">
        <v>25</v>
      </c>
      <c r="V994" s="6">
        <v>977</v>
      </c>
      <c r="W994">
        <v>75</v>
      </c>
      <c r="Y994" s="6">
        <v>992</v>
      </c>
      <c r="Z994">
        <v>60</v>
      </c>
      <c r="AB994" s="6">
        <v>978</v>
      </c>
      <c r="AC994">
        <v>3</v>
      </c>
    </row>
    <row r="995" spans="1:29" x14ac:dyDescent="0.25">
      <c r="A995">
        <v>994</v>
      </c>
      <c r="B995" s="1">
        <v>45278</v>
      </c>
      <c r="C995" t="s">
        <v>1022</v>
      </c>
      <c r="D995" t="s">
        <v>16</v>
      </c>
      <c r="E995">
        <v>51</v>
      </c>
      <c r="F995" t="s">
        <v>13</v>
      </c>
      <c r="G995">
        <v>2</v>
      </c>
      <c r="H995">
        <v>500</v>
      </c>
      <c r="I995">
        <v>1000</v>
      </c>
      <c r="J995" t="str">
        <f t="shared" si="15"/>
        <v>46-60</v>
      </c>
      <c r="M995" s="6" t="s">
        <v>338</v>
      </c>
      <c r="N995">
        <v>25</v>
      </c>
      <c r="V995" s="6">
        <v>978</v>
      </c>
      <c r="W995">
        <v>150</v>
      </c>
      <c r="Y995" s="6">
        <v>993</v>
      </c>
      <c r="Z995">
        <v>150</v>
      </c>
      <c r="AB995" s="6">
        <v>979</v>
      </c>
      <c r="AC995">
        <v>1</v>
      </c>
    </row>
    <row r="996" spans="1:29" x14ac:dyDescent="0.25">
      <c r="A996">
        <v>995</v>
      </c>
      <c r="B996" s="1">
        <v>45046</v>
      </c>
      <c r="C996" t="s">
        <v>1023</v>
      </c>
      <c r="D996" t="s">
        <v>16</v>
      </c>
      <c r="E996">
        <v>41</v>
      </c>
      <c r="F996" t="s">
        <v>17</v>
      </c>
      <c r="G996">
        <v>1</v>
      </c>
      <c r="H996">
        <v>30</v>
      </c>
      <c r="I996">
        <v>30</v>
      </c>
      <c r="J996" t="str">
        <f t="shared" si="15"/>
        <v>36-45</v>
      </c>
      <c r="M996" s="6" t="s">
        <v>232</v>
      </c>
      <c r="N996">
        <v>25</v>
      </c>
      <c r="V996" s="6">
        <v>979</v>
      </c>
      <c r="W996">
        <v>25</v>
      </c>
      <c r="Y996" s="6">
        <v>994</v>
      </c>
      <c r="Z996">
        <v>1000</v>
      </c>
      <c r="AB996" s="6">
        <v>980</v>
      </c>
      <c r="AC996">
        <v>3</v>
      </c>
    </row>
    <row r="997" spans="1:29" x14ac:dyDescent="0.25">
      <c r="A997">
        <v>996</v>
      </c>
      <c r="B997" s="1">
        <v>45062</v>
      </c>
      <c r="C997" t="s">
        <v>1024</v>
      </c>
      <c r="D997" t="s">
        <v>12</v>
      </c>
      <c r="E997">
        <v>62</v>
      </c>
      <c r="F997" t="s">
        <v>17</v>
      </c>
      <c r="G997">
        <v>1</v>
      </c>
      <c r="H997">
        <v>50</v>
      </c>
      <c r="I997">
        <v>50</v>
      </c>
      <c r="J997" t="b">
        <f t="shared" si="15"/>
        <v>0</v>
      </c>
      <c r="M997" s="6" t="s">
        <v>260</v>
      </c>
      <c r="N997">
        <v>25</v>
      </c>
      <c r="V997" s="6">
        <v>980</v>
      </c>
      <c r="W997">
        <v>75</v>
      </c>
      <c r="Y997" s="6">
        <v>995</v>
      </c>
      <c r="Z997">
        <v>30</v>
      </c>
      <c r="AB997" s="6">
        <v>981</v>
      </c>
      <c r="AC997">
        <v>2</v>
      </c>
    </row>
    <row r="998" spans="1:29" x14ac:dyDescent="0.25">
      <c r="A998">
        <v>997</v>
      </c>
      <c r="B998" s="1">
        <v>45247</v>
      </c>
      <c r="C998" t="s">
        <v>1025</v>
      </c>
      <c r="D998" t="s">
        <v>12</v>
      </c>
      <c r="E998">
        <v>52</v>
      </c>
      <c r="F998" t="s">
        <v>13</v>
      </c>
      <c r="G998">
        <v>3</v>
      </c>
      <c r="H998">
        <v>30</v>
      </c>
      <c r="I998">
        <v>90</v>
      </c>
      <c r="J998" t="str">
        <f t="shared" si="15"/>
        <v>46-60</v>
      </c>
      <c r="M998" s="6" t="s">
        <v>233</v>
      </c>
      <c r="N998">
        <v>25</v>
      </c>
      <c r="V998" s="6">
        <v>981</v>
      </c>
      <c r="W998">
        <v>60</v>
      </c>
      <c r="Y998" s="6">
        <v>996</v>
      </c>
      <c r="Z998">
        <v>50</v>
      </c>
      <c r="AB998" s="6">
        <v>982</v>
      </c>
      <c r="AC998">
        <v>3</v>
      </c>
    </row>
    <row r="999" spans="1:29" x14ac:dyDescent="0.25">
      <c r="A999">
        <v>998</v>
      </c>
      <c r="B999" s="1">
        <v>45228</v>
      </c>
      <c r="C999" t="s">
        <v>1026</v>
      </c>
      <c r="D999" t="s">
        <v>16</v>
      </c>
      <c r="E999">
        <v>23</v>
      </c>
      <c r="F999" t="s">
        <v>13</v>
      </c>
      <c r="G999">
        <v>4</v>
      </c>
      <c r="H999">
        <v>25</v>
      </c>
      <c r="I999">
        <v>100</v>
      </c>
      <c r="J999" t="str">
        <f t="shared" si="15"/>
        <v>18-25</v>
      </c>
      <c r="M999" s="6" t="s">
        <v>270</v>
      </c>
      <c r="N999">
        <v>25</v>
      </c>
      <c r="V999" s="6">
        <v>982</v>
      </c>
      <c r="W999">
        <v>90</v>
      </c>
      <c r="Y999" s="6">
        <v>997</v>
      </c>
      <c r="Z999">
        <v>90</v>
      </c>
      <c r="AB999" s="6">
        <v>983</v>
      </c>
      <c r="AC999">
        <v>1</v>
      </c>
    </row>
    <row r="1000" spans="1:29" x14ac:dyDescent="0.25">
      <c r="A1000">
        <v>999</v>
      </c>
      <c r="B1000" s="1">
        <v>45265</v>
      </c>
      <c r="C1000" t="s">
        <v>1027</v>
      </c>
      <c r="D1000" t="s">
        <v>16</v>
      </c>
      <c r="E1000">
        <v>36</v>
      </c>
      <c r="F1000" t="s">
        <v>20</v>
      </c>
      <c r="G1000">
        <v>3</v>
      </c>
      <c r="H1000">
        <v>50</v>
      </c>
      <c r="I1000">
        <v>150</v>
      </c>
      <c r="J1000" t="str">
        <f t="shared" si="15"/>
        <v>36-45</v>
      </c>
      <c r="M1000" s="6" t="s">
        <v>251</v>
      </c>
      <c r="N1000">
        <v>25</v>
      </c>
      <c r="V1000" s="6">
        <v>983</v>
      </c>
      <c r="W1000">
        <v>300</v>
      </c>
      <c r="Y1000" s="6">
        <v>998</v>
      </c>
      <c r="Z1000">
        <v>100</v>
      </c>
      <c r="AB1000" s="6">
        <v>984</v>
      </c>
      <c r="AC1000">
        <v>1</v>
      </c>
    </row>
    <row r="1001" spans="1:29" x14ac:dyDescent="0.25">
      <c r="A1001">
        <v>1000</v>
      </c>
      <c r="B1001" s="1">
        <v>45028</v>
      </c>
      <c r="C1001" t="s">
        <v>1028</v>
      </c>
      <c r="D1001" t="s">
        <v>12</v>
      </c>
      <c r="E1001">
        <v>47</v>
      </c>
      <c r="F1001" t="s">
        <v>20</v>
      </c>
      <c r="G1001">
        <v>4</v>
      </c>
      <c r="H1001">
        <v>30</v>
      </c>
      <c r="I1001">
        <v>120</v>
      </c>
      <c r="J1001" t="str">
        <f t="shared" si="15"/>
        <v>46-60</v>
      </c>
      <c r="M1001" s="6" t="s">
        <v>219</v>
      </c>
      <c r="N1001">
        <v>25</v>
      </c>
      <c r="V1001" s="6">
        <v>984</v>
      </c>
      <c r="W1001">
        <v>500</v>
      </c>
      <c r="Y1001" s="6">
        <v>999</v>
      </c>
      <c r="Z1001">
        <v>150</v>
      </c>
      <c r="AB1001" s="6">
        <v>985</v>
      </c>
      <c r="AC1001">
        <v>2</v>
      </c>
    </row>
    <row r="1002" spans="1:29" x14ac:dyDescent="0.25">
      <c r="M1002" s="6" t="s">
        <v>313</v>
      </c>
      <c r="N1002">
        <v>25</v>
      </c>
      <c r="V1002" s="6">
        <v>985</v>
      </c>
      <c r="W1002">
        <v>50</v>
      </c>
      <c r="Y1002" s="6">
        <v>1000</v>
      </c>
      <c r="Z1002">
        <v>120</v>
      </c>
      <c r="AB1002" s="6">
        <v>986</v>
      </c>
      <c r="AC1002">
        <v>2</v>
      </c>
    </row>
    <row r="1003" spans="1:29" x14ac:dyDescent="0.25">
      <c r="M1003" s="6" t="s">
        <v>24</v>
      </c>
      <c r="N1003">
        <v>456000</v>
      </c>
      <c r="V1003" s="6">
        <v>986</v>
      </c>
      <c r="W1003">
        <v>1000</v>
      </c>
      <c r="Y1003" s="6" t="s">
        <v>24</v>
      </c>
      <c r="Z1003">
        <v>2000</v>
      </c>
      <c r="AB1003" s="6">
        <v>987</v>
      </c>
      <c r="AC1003">
        <v>3</v>
      </c>
    </row>
    <row r="1004" spans="1:29" x14ac:dyDescent="0.25">
      <c r="V1004" s="6">
        <v>987</v>
      </c>
      <c r="W1004">
        <v>900</v>
      </c>
      <c r="AB1004" s="6">
        <v>988</v>
      </c>
      <c r="AC1004">
        <v>3</v>
      </c>
    </row>
    <row r="1005" spans="1:29" x14ac:dyDescent="0.25">
      <c r="V1005" s="6">
        <v>988</v>
      </c>
      <c r="W1005">
        <v>75</v>
      </c>
      <c r="AB1005" s="6">
        <v>989</v>
      </c>
      <c r="AC1005">
        <v>1</v>
      </c>
    </row>
    <row r="1006" spans="1:29" x14ac:dyDescent="0.25">
      <c r="V1006" s="6">
        <v>989</v>
      </c>
      <c r="W1006">
        <v>25</v>
      </c>
      <c r="AB1006" s="6">
        <v>990</v>
      </c>
      <c r="AC1006">
        <v>2</v>
      </c>
    </row>
    <row r="1007" spans="1:29" x14ac:dyDescent="0.25">
      <c r="V1007" s="6">
        <v>990</v>
      </c>
      <c r="W1007">
        <v>1000</v>
      </c>
      <c r="AB1007" s="6">
        <v>991</v>
      </c>
      <c r="AC1007">
        <v>2</v>
      </c>
    </row>
    <row r="1008" spans="1:29" x14ac:dyDescent="0.25">
      <c r="V1008" s="6">
        <v>991</v>
      </c>
      <c r="W1008">
        <v>100</v>
      </c>
      <c r="AB1008" s="6">
        <v>992</v>
      </c>
      <c r="AC1008">
        <v>2</v>
      </c>
    </row>
    <row r="1009" spans="22:29" x14ac:dyDescent="0.25">
      <c r="V1009" s="6">
        <v>992</v>
      </c>
      <c r="W1009">
        <v>60</v>
      </c>
      <c r="AB1009" s="6">
        <v>993</v>
      </c>
      <c r="AC1009">
        <v>3</v>
      </c>
    </row>
    <row r="1010" spans="22:29" x14ac:dyDescent="0.25">
      <c r="V1010" s="6">
        <v>993</v>
      </c>
      <c r="W1010">
        <v>150</v>
      </c>
      <c r="AB1010" s="6">
        <v>994</v>
      </c>
      <c r="AC1010">
        <v>2</v>
      </c>
    </row>
    <row r="1011" spans="22:29" x14ac:dyDescent="0.25">
      <c r="V1011" s="6">
        <v>994</v>
      </c>
      <c r="W1011">
        <v>1000</v>
      </c>
      <c r="AB1011" s="6">
        <v>995</v>
      </c>
      <c r="AC1011">
        <v>1</v>
      </c>
    </row>
    <row r="1012" spans="22:29" x14ac:dyDescent="0.25">
      <c r="V1012" s="6">
        <v>995</v>
      </c>
      <c r="W1012">
        <v>30</v>
      </c>
      <c r="AB1012" s="6">
        <v>996</v>
      </c>
      <c r="AC1012">
        <v>1</v>
      </c>
    </row>
    <row r="1013" spans="22:29" x14ac:dyDescent="0.25">
      <c r="V1013" s="6">
        <v>996</v>
      </c>
      <c r="W1013">
        <v>50</v>
      </c>
      <c r="AB1013" s="6">
        <v>997</v>
      </c>
      <c r="AC1013">
        <v>3</v>
      </c>
    </row>
    <row r="1014" spans="22:29" x14ac:dyDescent="0.25">
      <c r="V1014" s="6">
        <v>997</v>
      </c>
      <c r="W1014">
        <v>90</v>
      </c>
      <c r="AB1014" s="6">
        <v>998</v>
      </c>
      <c r="AC1014">
        <v>4</v>
      </c>
    </row>
    <row r="1015" spans="22:29" x14ac:dyDescent="0.25">
      <c r="V1015" s="6">
        <v>998</v>
      </c>
      <c r="W1015">
        <v>100</v>
      </c>
      <c r="AB1015" s="6">
        <v>999</v>
      </c>
      <c r="AC1015">
        <v>3</v>
      </c>
    </row>
    <row r="1016" spans="22:29" x14ac:dyDescent="0.25">
      <c r="V1016" s="6">
        <v>999</v>
      </c>
      <c r="W1016">
        <v>150</v>
      </c>
      <c r="AB1016" s="6">
        <v>1000</v>
      </c>
      <c r="AC1016">
        <v>4</v>
      </c>
    </row>
    <row r="1017" spans="22:29" x14ac:dyDescent="0.25">
      <c r="V1017" s="6">
        <v>1000</v>
      </c>
      <c r="W1017">
        <v>120</v>
      </c>
      <c r="AB1017" s="6" t="s">
        <v>24</v>
      </c>
      <c r="AC1017">
        <v>2.5139999999999998</v>
      </c>
    </row>
    <row r="1018" spans="22:29" x14ac:dyDescent="0.25">
      <c r="V1018" s="6" t="s">
        <v>24</v>
      </c>
      <c r="W1018">
        <v>456</v>
      </c>
    </row>
  </sheetData>
  <phoneticPr fontId="18" type="noConversion"/>
  <pageMargins left="0.7" right="0.7" top="0.75" bottom="0.75" header="0.3" footer="0.3"/>
  <pageSetup paperSize="9" orientation="portrait" r:id="rId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O96"/>
  <sheetViews>
    <sheetView showGridLines="0" tabSelected="1" workbookViewId="0">
      <selection activeCell="O3" sqref="O3"/>
    </sheetView>
  </sheetViews>
  <sheetFormatPr defaultRowHeight="15" x14ac:dyDescent="0.25"/>
  <cols>
    <col min="1" max="16384" width="9.140625" style="11"/>
  </cols>
  <sheetData>
    <row r="4" spans="2:14" x14ac:dyDescent="0.25">
      <c r="B4" s="12" t="s">
        <v>22</v>
      </c>
      <c r="J4" s="12" t="s">
        <v>37</v>
      </c>
      <c r="N4" s="12" t="s">
        <v>46</v>
      </c>
    </row>
    <row r="18" spans="3:14" x14ac:dyDescent="0.25">
      <c r="C18" s="12" t="s">
        <v>53</v>
      </c>
      <c r="I18" s="12" t="s">
        <v>10</v>
      </c>
      <c r="N18" s="12" t="s">
        <v>29</v>
      </c>
    </row>
    <row r="34" spans="3:14" x14ac:dyDescent="0.25">
      <c r="C34" s="12" t="s">
        <v>1029</v>
      </c>
      <c r="H34" s="12" t="s">
        <v>1030</v>
      </c>
      <c r="N34" s="12" t="s">
        <v>1031</v>
      </c>
    </row>
    <row r="50" spans="3:15" x14ac:dyDescent="0.25">
      <c r="C50" s="12" t="s">
        <v>1032</v>
      </c>
      <c r="I50" s="12" t="s">
        <v>1094</v>
      </c>
      <c r="O50" s="12" t="s">
        <v>1096</v>
      </c>
    </row>
    <row r="66" spans="3:15" x14ac:dyDescent="0.25">
      <c r="C66" s="12" t="s">
        <v>1097</v>
      </c>
      <c r="I66" s="12" t="s">
        <v>1099</v>
      </c>
      <c r="O66" s="12" t="s">
        <v>1100</v>
      </c>
    </row>
    <row r="82" spans="3:15" x14ac:dyDescent="0.25">
      <c r="C82" s="12" t="s">
        <v>1102</v>
      </c>
      <c r="I82" s="12" t="s">
        <v>1104</v>
      </c>
      <c r="O82" s="12" t="s">
        <v>1106</v>
      </c>
    </row>
    <row r="96" spans="3:15" x14ac:dyDescent="0.25">
      <c r="C96" s="12" t="s">
        <v>1107</v>
      </c>
      <c r="I96" s="12" t="s">
        <v>1108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4"/>
  <sheetViews>
    <sheetView showGridLines="0" topLeftCell="A58" workbookViewId="0">
      <selection activeCell="I7" sqref="I7"/>
    </sheetView>
  </sheetViews>
  <sheetFormatPr defaultRowHeight="15" x14ac:dyDescent="0.25"/>
  <sheetData>
    <row r="1" spans="1:1" ht="23.25" x14ac:dyDescent="0.25">
      <c r="A1" s="2" t="s">
        <v>1033</v>
      </c>
    </row>
    <row r="2" spans="1:1" x14ac:dyDescent="0.25">
      <c r="A2" s="3"/>
    </row>
    <row r="3" spans="1:1" x14ac:dyDescent="0.25">
      <c r="A3" s="3" t="s">
        <v>1034</v>
      </c>
    </row>
    <row r="4" spans="1:1" x14ac:dyDescent="0.25">
      <c r="A4" s="3"/>
    </row>
    <row r="5" spans="1:1" x14ac:dyDescent="0.25">
      <c r="A5" s="3" t="s">
        <v>1035</v>
      </c>
    </row>
    <row r="6" spans="1:1" x14ac:dyDescent="0.25">
      <c r="A6" s="3"/>
    </row>
    <row r="7" spans="1:1" x14ac:dyDescent="0.25">
      <c r="A7" s="3" t="s">
        <v>1036</v>
      </c>
    </row>
    <row r="8" spans="1:1" x14ac:dyDescent="0.25">
      <c r="A8" s="3"/>
    </row>
    <row r="9" spans="1:1" x14ac:dyDescent="0.25">
      <c r="A9" s="3" t="s">
        <v>1037</v>
      </c>
    </row>
    <row r="10" spans="1:1" x14ac:dyDescent="0.25">
      <c r="A10" s="3"/>
    </row>
    <row r="11" spans="1:1" x14ac:dyDescent="0.25">
      <c r="A11" s="3" t="s">
        <v>1038</v>
      </c>
    </row>
    <row r="15" spans="1:1" ht="23.25" x14ac:dyDescent="0.25">
      <c r="A15" s="2" t="s">
        <v>1039</v>
      </c>
    </row>
    <row r="16" spans="1:1" x14ac:dyDescent="0.25">
      <c r="A16" s="3"/>
    </row>
    <row r="17" spans="1:1" x14ac:dyDescent="0.25">
      <c r="A17" s="3" t="s">
        <v>1040</v>
      </c>
    </row>
    <row r="18" spans="1:1" x14ac:dyDescent="0.25">
      <c r="A18" s="3"/>
    </row>
    <row r="19" spans="1:1" x14ac:dyDescent="0.25">
      <c r="A19" s="3" t="s">
        <v>1041</v>
      </c>
    </row>
    <row r="20" spans="1:1" x14ac:dyDescent="0.25">
      <c r="A20" s="3"/>
    </row>
    <row r="21" spans="1:1" x14ac:dyDescent="0.25">
      <c r="A21" s="3" t="s">
        <v>1042</v>
      </c>
    </row>
    <row r="22" spans="1:1" x14ac:dyDescent="0.25">
      <c r="A22" s="3"/>
    </row>
    <row r="23" spans="1:1" x14ac:dyDescent="0.25">
      <c r="A23" s="3" t="s">
        <v>1043</v>
      </c>
    </row>
    <row r="27" spans="1:1" ht="23.25" x14ac:dyDescent="0.25">
      <c r="A27" s="2" t="s">
        <v>1044</v>
      </c>
    </row>
    <row r="28" spans="1:1" x14ac:dyDescent="0.25">
      <c r="A28" s="3"/>
    </row>
    <row r="29" spans="1:1" x14ac:dyDescent="0.25">
      <c r="A29" s="3" t="s">
        <v>1045</v>
      </c>
    </row>
    <row r="30" spans="1:1" x14ac:dyDescent="0.25">
      <c r="A30" s="3"/>
    </row>
    <row r="31" spans="1:1" x14ac:dyDescent="0.25">
      <c r="A31" s="3" t="s">
        <v>1046</v>
      </c>
    </row>
    <row r="32" spans="1:1" x14ac:dyDescent="0.25">
      <c r="A32" s="3"/>
    </row>
    <row r="33" spans="1:1" x14ac:dyDescent="0.25">
      <c r="A33" s="3" t="s">
        <v>1047</v>
      </c>
    </row>
    <row r="37" spans="1:1" ht="23.25" x14ac:dyDescent="0.25">
      <c r="A37" s="2" t="s">
        <v>1048</v>
      </c>
    </row>
    <row r="38" spans="1:1" x14ac:dyDescent="0.25">
      <c r="A38" s="3"/>
    </row>
    <row r="39" spans="1:1" x14ac:dyDescent="0.25">
      <c r="A39" s="3" t="s">
        <v>1049</v>
      </c>
    </row>
    <row r="40" spans="1:1" x14ac:dyDescent="0.25">
      <c r="A40" s="3" t="s">
        <v>1050</v>
      </c>
    </row>
    <row r="41" spans="1:1" x14ac:dyDescent="0.25">
      <c r="A41" s="3" t="s">
        <v>1051</v>
      </c>
    </row>
    <row r="42" spans="1:1" x14ac:dyDescent="0.25">
      <c r="A42" s="3" t="s">
        <v>1052</v>
      </c>
    </row>
    <row r="43" spans="1:1" x14ac:dyDescent="0.25">
      <c r="A43" s="3" t="s">
        <v>1053</v>
      </c>
    </row>
    <row r="44" spans="1:1" x14ac:dyDescent="0.25">
      <c r="A44" s="3"/>
    </row>
    <row r="45" spans="1:1" x14ac:dyDescent="0.25">
      <c r="A45" s="3" t="s">
        <v>1054</v>
      </c>
    </row>
    <row r="46" spans="1:1" x14ac:dyDescent="0.25">
      <c r="A46" s="3"/>
    </row>
    <row r="47" spans="1:1" x14ac:dyDescent="0.25">
      <c r="A47" s="3" t="s">
        <v>1055</v>
      </c>
    </row>
    <row r="51" spans="1:1" ht="23.25" x14ac:dyDescent="0.25">
      <c r="A51" s="2" t="s">
        <v>1056</v>
      </c>
    </row>
    <row r="52" spans="1:1" x14ac:dyDescent="0.25">
      <c r="A52" s="3"/>
    </row>
    <row r="53" spans="1:1" x14ac:dyDescent="0.25">
      <c r="A53" s="3" t="s">
        <v>1057</v>
      </c>
    </row>
    <row r="54" spans="1:1" x14ac:dyDescent="0.25">
      <c r="A54" s="3"/>
    </row>
    <row r="55" spans="1:1" x14ac:dyDescent="0.25">
      <c r="A55" s="3" t="s">
        <v>1058</v>
      </c>
    </row>
    <row r="56" spans="1:1" x14ac:dyDescent="0.25">
      <c r="A56" s="3"/>
    </row>
    <row r="57" spans="1:1" x14ac:dyDescent="0.25">
      <c r="A57" s="3" t="s">
        <v>1059</v>
      </c>
    </row>
    <row r="58" spans="1:1" x14ac:dyDescent="0.25">
      <c r="A58" s="3"/>
    </row>
    <row r="59" spans="1:1" x14ac:dyDescent="0.25">
      <c r="A59" s="3" t="s">
        <v>1060</v>
      </c>
    </row>
    <row r="63" spans="1:1" ht="23.25" x14ac:dyDescent="0.25">
      <c r="A63" s="2" t="s">
        <v>1061</v>
      </c>
    </row>
    <row r="64" spans="1:1" x14ac:dyDescent="0.25">
      <c r="A64" s="3"/>
    </row>
    <row r="65" spans="1:1" x14ac:dyDescent="0.25">
      <c r="A65" s="3" t="s">
        <v>1062</v>
      </c>
    </row>
    <row r="66" spans="1:1" x14ac:dyDescent="0.25">
      <c r="A66" s="3" t="s">
        <v>1063</v>
      </c>
    </row>
    <row r="67" spans="1:1" x14ac:dyDescent="0.25">
      <c r="A67" s="3"/>
    </row>
    <row r="68" spans="1:1" x14ac:dyDescent="0.25">
      <c r="A68" s="3" t="s">
        <v>1064</v>
      </c>
    </row>
    <row r="69" spans="1:1" x14ac:dyDescent="0.25">
      <c r="A69" s="3"/>
    </row>
    <row r="70" spans="1:1" x14ac:dyDescent="0.25">
      <c r="A70" s="3" t="s">
        <v>1065</v>
      </c>
    </row>
    <row r="71" spans="1:1" x14ac:dyDescent="0.25">
      <c r="A71" s="3"/>
    </row>
    <row r="72" spans="1:1" x14ac:dyDescent="0.25">
      <c r="A72" s="3" t="s">
        <v>1066</v>
      </c>
    </row>
    <row r="73" spans="1:1" x14ac:dyDescent="0.25">
      <c r="A73" s="3"/>
    </row>
    <row r="74" spans="1:1" x14ac:dyDescent="0.25">
      <c r="A74" s="3" t="s">
        <v>1067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L...retail_sales_dataset  PROJE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2025-11-18T08:31:49Z</dcterms:created>
  <dcterms:modified xsi:type="dcterms:W3CDTF">2026-02-27T06:33:51Z</dcterms:modified>
</cp:coreProperties>
</file>